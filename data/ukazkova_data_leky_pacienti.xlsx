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Přehled po měsících" sheetId="2" state="visible" r:id="rId4"/>
    <sheet name="Léky" sheetId="3" state="visible" r:id="rId5"/>
    <sheet name="Pacienti" sheetId="4" state="visible" r:id="rId6"/>
    <sheet name="Výdeje" sheetId="5" state="visible" r:id="rId7"/>
  </sheets>
  <definedNames>
    <definedName function="false" hidden="true" localSheetId="4" name="_xlnm._FilterDatabase" vbProcedure="false">Výdeje!$A$1:$H$841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Smyšlené orientační ceny – změňte je a přepočítá se celý sešit.</t>
        </r>
      </text>
    </comment>
  </commentList>
</comments>
</file>

<file path=xl/sharedStrings.xml><?xml version="1.0" encoding="utf-8"?>
<sst xmlns="http://schemas.openxmlformats.org/spreadsheetml/2006/main" count="2065" uniqueCount="180">
  <si>
    <t xml:space="preserve">Ukázková data – výdeje léků pacientům, rok 2025</t>
  </si>
  <si>
    <t xml:space="preserve">Všechna data jsou smyšlená. Pacienti jsou jen pod anonymními ID, bez jmen.</t>
  </si>
  <si>
    <t xml:space="preserve">Listy:</t>
  </si>
  <si>
    <t xml:space="preserve">  Léky – číselník 10 léků (ID, název, ATC kód, skupina, cena za balení)</t>
  </si>
  <si>
    <t xml:space="preserve">  Pacienti – 60 pacientů (ID, pohlaví, rok narození, kraj, lékař, datum registrace)</t>
  </si>
  <si>
    <t xml:space="preserve">  Výdeje – každý řádek = výdej léku pacientovi v daném měsíci; název a cena se dotahují vzorcem podle ID</t>
  </si>
  <si>
    <t xml:space="preserve">  Přehled po měsících – počet balení a tržby podle léku a měsíce (vzorce SUMIFS)</t>
  </si>
  <si>
    <t xml:space="preserve">Modře jsou vstupní hodnoty, které můžete měnit (např. ceny). Černě jsou vzorce.</t>
  </si>
  <si>
    <t xml:space="preserve">Ceny jsou orientační a smyšlené, nejsou to skutečné ceny léků.</t>
  </si>
  <si>
    <t xml:space="preserve">Počet vydaných balení</t>
  </si>
  <si>
    <t xml:space="preserve">Lék</t>
  </si>
  <si>
    <t xml:space="preserve">leden</t>
  </si>
  <si>
    <t xml:space="preserve">únor</t>
  </si>
  <si>
    <t xml:space="preserve">březen</t>
  </si>
  <si>
    <t xml:space="preserve">duben</t>
  </si>
  <si>
    <t xml:space="preserve">květen</t>
  </si>
  <si>
    <t xml:space="preserve">červen</t>
  </si>
  <si>
    <t xml:space="preserve">červenec</t>
  </si>
  <si>
    <t xml:space="preserve">srpen</t>
  </si>
  <si>
    <t xml:space="preserve">září</t>
  </si>
  <si>
    <t xml:space="preserve">říjen</t>
  </si>
  <si>
    <t xml:space="preserve">listopad</t>
  </si>
  <si>
    <t xml:space="preserve">prosinec</t>
  </si>
  <si>
    <t xml:space="preserve">Celkem</t>
  </si>
  <si>
    <t xml:space="preserve">Tržby (Kč)</t>
  </si>
  <si>
    <t xml:space="preserve">ID léku</t>
  </si>
  <si>
    <t xml:space="preserve">Název</t>
  </si>
  <si>
    <t xml:space="preserve">Účinná látka</t>
  </si>
  <si>
    <t xml:space="preserve">ATC kód</t>
  </si>
  <si>
    <t xml:space="preserve">Skupina</t>
  </si>
  <si>
    <t xml:space="preserve">Forma</t>
  </si>
  <si>
    <t xml:space="preserve">Balení</t>
  </si>
  <si>
    <t xml:space="preserve">Cena za balení (Kč)</t>
  </si>
  <si>
    <t xml:space="preserve">Typ užívání</t>
  </si>
  <si>
    <t xml:space="preserve">L01</t>
  </si>
  <si>
    <t xml:space="preserve">Metformin 500 mg</t>
  </si>
  <si>
    <t xml:space="preserve">metformin</t>
  </si>
  <si>
    <t xml:space="preserve">A10BA02</t>
  </si>
  <si>
    <t xml:space="preserve">Diabetes</t>
  </si>
  <si>
    <t xml:space="preserve">tablety</t>
  </si>
  <si>
    <t xml:space="preserve">60 tbl</t>
  </si>
  <si>
    <t xml:space="preserve">chronický</t>
  </si>
  <si>
    <t xml:space="preserve">L02</t>
  </si>
  <si>
    <t xml:space="preserve">Atorvastatin 20 mg</t>
  </si>
  <si>
    <t xml:space="preserve">atorvastatin</t>
  </si>
  <si>
    <t xml:space="preserve">C10AA05</t>
  </si>
  <si>
    <t xml:space="preserve">Cholesterol</t>
  </si>
  <si>
    <t xml:space="preserve">30 tbl</t>
  </si>
  <si>
    <t xml:space="preserve">L03</t>
  </si>
  <si>
    <t xml:space="preserve">Amlodipin 5 mg</t>
  </si>
  <si>
    <t xml:space="preserve">amlodipin</t>
  </si>
  <si>
    <t xml:space="preserve">C08CA01</t>
  </si>
  <si>
    <t xml:space="preserve">Krevní tlak</t>
  </si>
  <si>
    <t xml:space="preserve">L04</t>
  </si>
  <si>
    <t xml:space="preserve">Ramipril 5 mg</t>
  </si>
  <si>
    <t xml:space="preserve">ramipril</t>
  </si>
  <si>
    <t xml:space="preserve">C09AA05</t>
  </si>
  <si>
    <t xml:space="preserve">L05</t>
  </si>
  <si>
    <t xml:space="preserve">Levothyroxin 50 µg</t>
  </si>
  <si>
    <t xml:space="preserve">levothyroxin</t>
  </si>
  <si>
    <t xml:space="preserve">H03AA01</t>
  </si>
  <si>
    <t xml:space="preserve">Štítná žláza</t>
  </si>
  <si>
    <t xml:space="preserve">100 tbl</t>
  </si>
  <si>
    <t xml:space="preserve">L06</t>
  </si>
  <si>
    <t xml:space="preserve">Omeprazol 20 mg</t>
  </si>
  <si>
    <t xml:space="preserve">omeprazol</t>
  </si>
  <si>
    <t xml:space="preserve">A02BC01</t>
  </si>
  <si>
    <t xml:space="preserve">Trávení</t>
  </si>
  <si>
    <t xml:space="preserve">tobolky</t>
  </si>
  <si>
    <t xml:space="preserve">28 tob</t>
  </si>
  <si>
    <t xml:space="preserve">L07</t>
  </si>
  <si>
    <t xml:space="preserve">Sertralin 50 mg</t>
  </si>
  <si>
    <t xml:space="preserve">sertralin</t>
  </si>
  <si>
    <t xml:space="preserve">N06AB06</t>
  </si>
  <si>
    <t xml:space="preserve">Psychiatrie</t>
  </si>
  <si>
    <t xml:space="preserve">28 tbl</t>
  </si>
  <si>
    <t xml:space="preserve">L08</t>
  </si>
  <si>
    <t xml:space="preserve">Salbutamol inhalátor</t>
  </si>
  <si>
    <t xml:space="preserve">salbutamol</t>
  </si>
  <si>
    <t xml:space="preserve">R03AC02</t>
  </si>
  <si>
    <t xml:space="preserve">Dýchací cesty</t>
  </si>
  <si>
    <t xml:space="preserve">inhalátor</t>
  </si>
  <si>
    <t xml:space="preserve">200 dávek</t>
  </si>
  <si>
    <t xml:space="preserve">sezónní</t>
  </si>
  <si>
    <t xml:space="preserve">L09</t>
  </si>
  <si>
    <t xml:space="preserve">Amoxicilin 500 mg</t>
  </si>
  <si>
    <t xml:space="preserve">amoxicilin</t>
  </si>
  <si>
    <t xml:space="preserve">J01CA04</t>
  </si>
  <si>
    <t xml:space="preserve">Antibiotika</t>
  </si>
  <si>
    <t xml:space="preserve">16 tob</t>
  </si>
  <si>
    <t xml:space="preserve">akutní</t>
  </si>
  <si>
    <t xml:space="preserve">L10</t>
  </si>
  <si>
    <t xml:space="preserve">Ibuprofen 400 mg</t>
  </si>
  <si>
    <t xml:space="preserve">ibuprofen</t>
  </si>
  <si>
    <t xml:space="preserve">M01AE01</t>
  </si>
  <si>
    <t xml:space="preserve">Bolest</t>
  </si>
  <si>
    <t xml:space="preserve">ID pacienta</t>
  </si>
  <si>
    <t xml:space="preserve">Pohlaví</t>
  </si>
  <si>
    <t xml:space="preserve">Rok narození</t>
  </si>
  <si>
    <t xml:space="preserve">Věk (2025)</t>
  </si>
  <si>
    <t xml:space="preserve">Kraj</t>
  </si>
  <si>
    <t xml:space="preserve">Ošetřující lékař</t>
  </si>
  <si>
    <t xml:space="preserve">Datum registrace</t>
  </si>
  <si>
    <t xml:space="preserve">P0001</t>
  </si>
  <si>
    <t xml:space="preserve">M</t>
  </si>
  <si>
    <t xml:space="preserve">Středočeský</t>
  </si>
  <si>
    <t xml:space="preserve">MUDr. Nováková</t>
  </si>
  <si>
    <t xml:space="preserve">P0002</t>
  </si>
  <si>
    <t xml:space="preserve">Olomoucký</t>
  </si>
  <si>
    <t xml:space="preserve">MUDr. Dvořák</t>
  </si>
  <si>
    <t xml:space="preserve">P0003</t>
  </si>
  <si>
    <t xml:space="preserve">Ž</t>
  </si>
  <si>
    <t xml:space="preserve">Praha</t>
  </si>
  <si>
    <t xml:space="preserve">MUDr. Černý</t>
  </si>
  <si>
    <t xml:space="preserve">P0004</t>
  </si>
  <si>
    <t xml:space="preserve">Jihomoravský</t>
  </si>
  <si>
    <t xml:space="preserve">P0005</t>
  </si>
  <si>
    <t xml:space="preserve">MUDr. Procházková</t>
  </si>
  <si>
    <t xml:space="preserve">P0006</t>
  </si>
  <si>
    <t xml:space="preserve">P0007</t>
  </si>
  <si>
    <t xml:space="preserve">P0008</t>
  </si>
  <si>
    <t xml:space="preserve">P0009</t>
  </si>
  <si>
    <t xml:space="preserve">MUDr. Svobodová</t>
  </si>
  <si>
    <t xml:space="preserve">P0010</t>
  </si>
  <si>
    <t xml:space="preserve">P0011</t>
  </si>
  <si>
    <t xml:space="preserve">P0012</t>
  </si>
  <si>
    <t xml:space="preserve">Moravskoslezský</t>
  </si>
  <si>
    <t xml:space="preserve">P0013</t>
  </si>
  <si>
    <t xml:space="preserve">P0014</t>
  </si>
  <si>
    <t xml:space="preserve">P0015</t>
  </si>
  <si>
    <t xml:space="preserve">P0016</t>
  </si>
  <si>
    <t xml:space="preserve">P0017</t>
  </si>
  <si>
    <t xml:space="preserve">Plzeňský</t>
  </si>
  <si>
    <t xml:space="preserve">P0018</t>
  </si>
  <si>
    <t xml:space="preserve">P0019</t>
  </si>
  <si>
    <t xml:space="preserve">P0020</t>
  </si>
  <si>
    <t xml:space="preserve">P0021</t>
  </si>
  <si>
    <t xml:space="preserve">P0022</t>
  </si>
  <si>
    <t xml:space="preserve">P0023</t>
  </si>
  <si>
    <t xml:space="preserve">P0024</t>
  </si>
  <si>
    <t xml:space="preserve">P0025</t>
  </si>
  <si>
    <t xml:space="preserve">P0026</t>
  </si>
  <si>
    <t xml:space="preserve">P0027</t>
  </si>
  <si>
    <t xml:space="preserve">P0028</t>
  </si>
  <si>
    <t xml:space="preserve">P0029</t>
  </si>
  <si>
    <t xml:space="preserve">P0030</t>
  </si>
  <si>
    <t xml:space="preserve">P0031</t>
  </si>
  <si>
    <t xml:space="preserve">P0032</t>
  </si>
  <si>
    <t xml:space="preserve">P0033</t>
  </si>
  <si>
    <t xml:space="preserve">P0034</t>
  </si>
  <si>
    <t xml:space="preserve">P0035</t>
  </si>
  <si>
    <t xml:space="preserve">P0036</t>
  </si>
  <si>
    <t xml:space="preserve">P0037</t>
  </si>
  <si>
    <t xml:space="preserve">P0038</t>
  </si>
  <si>
    <t xml:space="preserve">P0039</t>
  </si>
  <si>
    <t xml:space="preserve">P0040</t>
  </si>
  <si>
    <t xml:space="preserve">P0041</t>
  </si>
  <si>
    <t xml:space="preserve">P0042</t>
  </si>
  <si>
    <t xml:space="preserve">P0043</t>
  </si>
  <si>
    <t xml:space="preserve">P0044</t>
  </si>
  <si>
    <t xml:space="preserve">P0045</t>
  </si>
  <si>
    <t xml:space="preserve">P0046</t>
  </si>
  <si>
    <t xml:space="preserve">P0047</t>
  </si>
  <si>
    <t xml:space="preserve">P0048</t>
  </si>
  <si>
    <t xml:space="preserve">P0049</t>
  </si>
  <si>
    <t xml:space="preserve">P0050</t>
  </si>
  <si>
    <t xml:space="preserve">P0051</t>
  </si>
  <si>
    <t xml:space="preserve">P0052</t>
  </si>
  <si>
    <t xml:space="preserve">P0053</t>
  </si>
  <si>
    <t xml:space="preserve">P0054</t>
  </si>
  <si>
    <t xml:space="preserve">P0055</t>
  </si>
  <si>
    <t xml:space="preserve">P0056</t>
  </si>
  <si>
    <t xml:space="preserve">P0057</t>
  </si>
  <si>
    <t xml:space="preserve">P0058</t>
  </si>
  <si>
    <t xml:space="preserve">P0059</t>
  </si>
  <si>
    <t xml:space="preserve">P0060</t>
  </si>
  <si>
    <t xml:space="preserve">Měsíc</t>
  </si>
  <si>
    <t xml:space="preserve">Název léku</t>
  </si>
  <si>
    <t xml:space="preserve">Počet balení</t>
  </si>
  <si>
    <t xml:space="preserve">Celkem (Kč)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</si>
</sst>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\.mm\.yyyy"/>
    <numFmt numFmtId="167" formatCode="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1"/>
  </cols>
  <sheetData>
    <row r="1" customFormat="false" ht="15" hidden="false" customHeight="false" outlineLevel="0" collapsed="false">
      <c r="A1" s="3" t="s">
        <v>9</v>
      </c>
    </row>
    <row r="2" customFormat="false" ht="15" hidden="false" customHeight="false" outlineLevel="0" collapsed="false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</row>
    <row r="3" customFormat="false" ht="15" hidden="false" customHeight="false" outlineLevel="0" collapsed="false">
      <c r="A3" s="2" t="str">
        <f aca="false">Léky!B2</f>
        <v>Metformin 500 mg</v>
      </c>
      <c r="B3" s="5" t="n">
        <f aca="false">SUMIFS(Výdeje!$F$2:$F$841,Výdeje!$C$2:$C$841,Léky!$A$2,Výdeje!$A$2:$A$841,DATE(2025,1,1))</f>
        <v>9</v>
      </c>
      <c r="C3" s="5" t="n">
        <f aca="false">SUMIFS(Výdeje!$F$2:$F$841,Výdeje!$C$2:$C$841,Léky!$A$2,Výdeje!$A$2:$A$841,DATE(2025,2,1))</f>
        <v>8</v>
      </c>
      <c r="D3" s="5" t="n">
        <f aca="false">SUMIFS(Výdeje!$F$2:$F$841,Výdeje!$C$2:$C$841,Léky!$A$2,Výdeje!$A$2:$A$841,DATE(2025,3,1))</f>
        <v>10</v>
      </c>
      <c r="E3" s="5" t="n">
        <f aca="false">SUMIFS(Výdeje!$F$2:$F$841,Výdeje!$C$2:$C$841,Léky!$A$2,Výdeje!$A$2:$A$841,DATE(2025,4,1))</f>
        <v>6</v>
      </c>
      <c r="F3" s="5" t="n">
        <f aca="false">SUMIFS(Výdeje!$F$2:$F$841,Výdeje!$C$2:$C$841,Léky!$A$2,Výdeje!$A$2:$A$841,DATE(2025,5,1))</f>
        <v>12</v>
      </c>
      <c r="G3" s="5" t="n">
        <f aca="false">SUMIFS(Výdeje!$F$2:$F$841,Výdeje!$C$2:$C$841,Léky!$A$2,Výdeje!$A$2:$A$841,DATE(2025,6,1))</f>
        <v>11</v>
      </c>
      <c r="H3" s="5" t="n">
        <f aca="false">SUMIFS(Výdeje!$F$2:$F$841,Výdeje!$C$2:$C$841,Léky!$A$2,Výdeje!$A$2:$A$841,DATE(2025,7,1))</f>
        <v>11</v>
      </c>
      <c r="I3" s="5" t="n">
        <f aca="false">SUMIFS(Výdeje!$F$2:$F$841,Výdeje!$C$2:$C$841,Léky!$A$2,Výdeje!$A$2:$A$841,DATE(2025,8,1))</f>
        <v>9</v>
      </c>
      <c r="J3" s="5" t="n">
        <f aca="false">SUMIFS(Výdeje!$F$2:$F$841,Výdeje!$C$2:$C$841,Léky!$A$2,Výdeje!$A$2:$A$841,DATE(2025,9,1))</f>
        <v>9</v>
      </c>
      <c r="K3" s="5" t="n">
        <f aca="false">SUMIFS(Výdeje!$F$2:$F$841,Výdeje!$C$2:$C$841,Léky!$A$2,Výdeje!$A$2:$A$841,DATE(2025,10,1))</f>
        <v>10</v>
      </c>
      <c r="L3" s="5" t="n">
        <f aca="false">SUMIFS(Výdeje!$F$2:$F$841,Výdeje!$C$2:$C$841,Léky!$A$2,Výdeje!$A$2:$A$841,DATE(2025,11,1))</f>
        <v>10</v>
      </c>
      <c r="M3" s="5" t="n">
        <f aca="false">SUMIFS(Výdeje!$F$2:$F$841,Výdeje!$C$2:$C$841,Léky!$A$2,Výdeje!$A$2:$A$841,DATE(2025,12,1))</f>
        <v>12</v>
      </c>
      <c r="N3" s="5" t="n">
        <f aca="false">SUM(B3:M3)</f>
        <v>117</v>
      </c>
    </row>
    <row r="4" customFormat="false" ht="15" hidden="false" customHeight="false" outlineLevel="0" collapsed="false">
      <c r="A4" s="2" t="str">
        <f aca="false">Léky!B3</f>
        <v>Atorvastatin 20 mg</v>
      </c>
      <c r="B4" s="5" t="n">
        <f aca="false">SUMIFS(Výdeje!$F$2:$F$841,Výdeje!$C$2:$C$841,Léky!$A$3,Výdeje!$A$2:$A$841,DATE(2025,1,1))</f>
        <v>3</v>
      </c>
      <c r="C4" s="5" t="n">
        <f aca="false">SUMIFS(Výdeje!$F$2:$F$841,Výdeje!$C$2:$C$841,Léky!$A$3,Výdeje!$A$2:$A$841,DATE(2025,2,1))</f>
        <v>3</v>
      </c>
      <c r="D4" s="5" t="n">
        <f aca="false">SUMIFS(Výdeje!$F$2:$F$841,Výdeje!$C$2:$C$841,Léky!$A$3,Výdeje!$A$2:$A$841,DATE(2025,3,1))</f>
        <v>3</v>
      </c>
      <c r="E4" s="5" t="n">
        <f aca="false">SUMIFS(Výdeje!$F$2:$F$841,Výdeje!$C$2:$C$841,Léky!$A$3,Výdeje!$A$2:$A$841,DATE(2025,4,1))</f>
        <v>4</v>
      </c>
      <c r="F4" s="5" t="n">
        <f aca="false">SUMIFS(Výdeje!$F$2:$F$841,Výdeje!$C$2:$C$841,Léky!$A$3,Výdeje!$A$2:$A$841,DATE(2025,5,1))</f>
        <v>4</v>
      </c>
      <c r="G4" s="5" t="n">
        <f aca="false">SUMIFS(Výdeje!$F$2:$F$841,Výdeje!$C$2:$C$841,Léky!$A$3,Výdeje!$A$2:$A$841,DATE(2025,6,1))</f>
        <v>4</v>
      </c>
      <c r="H4" s="5" t="n">
        <f aca="false">SUMIFS(Výdeje!$F$2:$F$841,Výdeje!$C$2:$C$841,Léky!$A$3,Výdeje!$A$2:$A$841,DATE(2025,7,1))</f>
        <v>5</v>
      </c>
      <c r="I4" s="5" t="n">
        <f aca="false">SUMIFS(Výdeje!$F$2:$F$841,Výdeje!$C$2:$C$841,Léky!$A$3,Výdeje!$A$2:$A$841,DATE(2025,8,1))</f>
        <v>5</v>
      </c>
      <c r="J4" s="5" t="n">
        <f aca="false">SUMIFS(Výdeje!$F$2:$F$841,Výdeje!$C$2:$C$841,Léky!$A$3,Výdeje!$A$2:$A$841,DATE(2025,9,1))</f>
        <v>6</v>
      </c>
      <c r="K4" s="5" t="n">
        <f aca="false">SUMIFS(Výdeje!$F$2:$F$841,Výdeje!$C$2:$C$841,Léky!$A$3,Výdeje!$A$2:$A$841,DATE(2025,10,1))</f>
        <v>5</v>
      </c>
      <c r="L4" s="5" t="n">
        <f aca="false">SUMIFS(Výdeje!$F$2:$F$841,Výdeje!$C$2:$C$841,Léky!$A$3,Výdeje!$A$2:$A$841,DATE(2025,11,1))</f>
        <v>5</v>
      </c>
      <c r="M4" s="5" t="n">
        <f aca="false">SUMIFS(Výdeje!$F$2:$F$841,Výdeje!$C$2:$C$841,Léky!$A$3,Výdeje!$A$2:$A$841,DATE(2025,12,1))</f>
        <v>5</v>
      </c>
      <c r="N4" s="5" t="n">
        <f aca="false">SUM(B4:M4)</f>
        <v>52</v>
      </c>
    </row>
    <row r="5" customFormat="false" ht="15" hidden="false" customHeight="false" outlineLevel="0" collapsed="false">
      <c r="A5" s="2" t="str">
        <f aca="false">Léky!B4</f>
        <v>Amlodipin 5 mg</v>
      </c>
      <c r="B5" s="5" t="n">
        <f aca="false">SUMIFS(Výdeje!$F$2:$F$841,Výdeje!$C$2:$C$841,Léky!$A$4,Výdeje!$A$2:$A$841,DATE(2025,1,1))</f>
        <v>10</v>
      </c>
      <c r="C5" s="5" t="n">
        <f aca="false">SUMIFS(Výdeje!$F$2:$F$841,Výdeje!$C$2:$C$841,Léky!$A$4,Výdeje!$A$2:$A$841,DATE(2025,2,1))</f>
        <v>10</v>
      </c>
      <c r="D5" s="5" t="n">
        <f aca="false">SUMIFS(Výdeje!$F$2:$F$841,Výdeje!$C$2:$C$841,Léky!$A$4,Výdeje!$A$2:$A$841,DATE(2025,3,1))</f>
        <v>10</v>
      </c>
      <c r="E5" s="5" t="n">
        <f aca="false">SUMIFS(Výdeje!$F$2:$F$841,Výdeje!$C$2:$C$841,Léky!$A$4,Výdeje!$A$2:$A$841,DATE(2025,4,1))</f>
        <v>11</v>
      </c>
      <c r="F5" s="5" t="n">
        <f aca="false">SUMIFS(Výdeje!$F$2:$F$841,Výdeje!$C$2:$C$841,Léky!$A$4,Výdeje!$A$2:$A$841,DATE(2025,5,1))</f>
        <v>10</v>
      </c>
      <c r="G5" s="5" t="n">
        <f aca="false">SUMIFS(Výdeje!$F$2:$F$841,Výdeje!$C$2:$C$841,Léky!$A$4,Výdeje!$A$2:$A$841,DATE(2025,6,1))</f>
        <v>10</v>
      </c>
      <c r="H5" s="5" t="n">
        <f aca="false">SUMIFS(Výdeje!$F$2:$F$841,Výdeje!$C$2:$C$841,Léky!$A$4,Výdeje!$A$2:$A$841,DATE(2025,7,1))</f>
        <v>12</v>
      </c>
      <c r="I5" s="5" t="n">
        <f aca="false">SUMIFS(Výdeje!$F$2:$F$841,Výdeje!$C$2:$C$841,Léky!$A$4,Výdeje!$A$2:$A$841,DATE(2025,8,1))</f>
        <v>13</v>
      </c>
      <c r="J5" s="5" t="n">
        <f aca="false">SUMIFS(Výdeje!$F$2:$F$841,Výdeje!$C$2:$C$841,Léky!$A$4,Výdeje!$A$2:$A$841,DATE(2025,9,1))</f>
        <v>11</v>
      </c>
      <c r="K5" s="5" t="n">
        <f aca="false">SUMIFS(Výdeje!$F$2:$F$841,Výdeje!$C$2:$C$841,Léky!$A$4,Výdeje!$A$2:$A$841,DATE(2025,10,1))</f>
        <v>13</v>
      </c>
      <c r="L5" s="5" t="n">
        <f aca="false">SUMIFS(Výdeje!$F$2:$F$841,Výdeje!$C$2:$C$841,Léky!$A$4,Výdeje!$A$2:$A$841,DATE(2025,11,1))</f>
        <v>11</v>
      </c>
      <c r="M5" s="5" t="n">
        <f aca="false">SUMIFS(Výdeje!$F$2:$F$841,Výdeje!$C$2:$C$841,Léky!$A$4,Výdeje!$A$2:$A$841,DATE(2025,12,1))</f>
        <v>13</v>
      </c>
      <c r="N5" s="5" t="n">
        <f aca="false">SUM(B5:M5)</f>
        <v>134</v>
      </c>
    </row>
    <row r="6" customFormat="false" ht="15" hidden="false" customHeight="false" outlineLevel="0" collapsed="false">
      <c r="A6" s="2" t="str">
        <f aca="false">Léky!B5</f>
        <v>Ramipril 5 mg</v>
      </c>
      <c r="B6" s="5" t="n">
        <f aca="false">SUMIFS(Výdeje!$F$2:$F$841,Výdeje!$C$2:$C$841,Léky!$A$5,Výdeje!$A$2:$A$841,DATE(2025,1,1))</f>
        <v>7</v>
      </c>
      <c r="C6" s="5" t="n">
        <f aca="false">SUMIFS(Výdeje!$F$2:$F$841,Výdeje!$C$2:$C$841,Léky!$A$5,Výdeje!$A$2:$A$841,DATE(2025,2,1))</f>
        <v>10</v>
      </c>
      <c r="D6" s="5" t="n">
        <f aca="false">SUMIFS(Výdeje!$F$2:$F$841,Výdeje!$C$2:$C$841,Léky!$A$5,Výdeje!$A$2:$A$841,DATE(2025,3,1))</f>
        <v>11</v>
      </c>
      <c r="E6" s="5" t="n">
        <f aca="false">SUMIFS(Výdeje!$F$2:$F$841,Výdeje!$C$2:$C$841,Léky!$A$5,Výdeje!$A$2:$A$841,DATE(2025,4,1))</f>
        <v>8</v>
      </c>
      <c r="F6" s="5" t="n">
        <f aca="false">SUMIFS(Výdeje!$F$2:$F$841,Výdeje!$C$2:$C$841,Léky!$A$5,Výdeje!$A$2:$A$841,DATE(2025,5,1))</f>
        <v>10</v>
      </c>
      <c r="G6" s="5" t="n">
        <f aca="false">SUMIFS(Výdeje!$F$2:$F$841,Výdeje!$C$2:$C$841,Léky!$A$5,Výdeje!$A$2:$A$841,DATE(2025,6,1))</f>
        <v>11</v>
      </c>
      <c r="H6" s="5" t="n">
        <f aca="false">SUMIFS(Výdeje!$F$2:$F$841,Výdeje!$C$2:$C$841,Léky!$A$5,Výdeje!$A$2:$A$841,DATE(2025,7,1))</f>
        <v>11</v>
      </c>
      <c r="I6" s="5" t="n">
        <f aca="false">SUMIFS(Výdeje!$F$2:$F$841,Výdeje!$C$2:$C$841,Léky!$A$5,Výdeje!$A$2:$A$841,DATE(2025,8,1))</f>
        <v>11</v>
      </c>
      <c r="J6" s="5" t="n">
        <f aca="false">SUMIFS(Výdeje!$F$2:$F$841,Výdeje!$C$2:$C$841,Léky!$A$5,Výdeje!$A$2:$A$841,DATE(2025,9,1))</f>
        <v>8</v>
      </c>
      <c r="K6" s="5" t="n">
        <f aca="false">SUMIFS(Výdeje!$F$2:$F$841,Výdeje!$C$2:$C$841,Léky!$A$5,Výdeje!$A$2:$A$841,DATE(2025,10,1))</f>
        <v>11</v>
      </c>
      <c r="L6" s="5" t="n">
        <f aca="false">SUMIFS(Výdeje!$F$2:$F$841,Výdeje!$C$2:$C$841,Léky!$A$5,Výdeje!$A$2:$A$841,DATE(2025,11,1))</f>
        <v>12</v>
      </c>
      <c r="M6" s="5" t="n">
        <f aca="false">SUMIFS(Výdeje!$F$2:$F$841,Výdeje!$C$2:$C$841,Léky!$A$5,Výdeje!$A$2:$A$841,DATE(2025,12,1))</f>
        <v>10</v>
      </c>
      <c r="N6" s="5" t="n">
        <f aca="false">SUM(B6:M6)</f>
        <v>120</v>
      </c>
    </row>
    <row r="7" customFormat="false" ht="15" hidden="false" customHeight="false" outlineLevel="0" collapsed="false">
      <c r="A7" s="2" t="str">
        <f aca="false">Léky!B6</f>
        <v>Levothyroxin 50 µg</v>
      </c>
      <c r="B7" s="5" t="n">
        <f aca="false">SUMIFS(Výdeje!$F$2:$F$841,Výdeje!$C$2:$C$841,Léky!$A$6,Výdeje!$A$2:$A$841,DATE(2025,1,1))</f>
        <v>7</v>
      </c>
      <c r="C7" s="5" t="n">
        <f aca="false">SUMIFS(Výdeje!$F$2:$F$841,Výdeje!$C$2:$C$841,Léky!$A$6,Výdeje!$A$2:$A$841,DATE(2025,2,1))</f>
        <v>8</v>
      </c>
      <c r="D7" s="5" t="n">
        <f aca="false">SUMIFS(Výdeje!$F$2:$F$841,Výdeje!$C$2:$C$841,Léky!$A$6,Výdeje!$A$2:$A$841,DATE(2025,3,1))</f>
        <v>8</v>
      </c>
      <c r="E7" s="5" t="n">
        <f aca="false">SUMIFS(Výdeje!$F$2:$F$841,Výdeje!$C$2:$C$841,Léky!$A$6,Výdeje!$A$2:$A$841,DATE(2025,4,1))</f>
        <v>8</v>
      </c>
      <c r="F7" s="5" t="n">
        <f aca="false">SUMIFS(Výdeje!$F$2:$F$841,Výdeje!$C$2:$C$841,Léky!$A$6,Výdeje!$A$2:$A$841,DATE(2025,5,1))</f>
        <v>8</v>
      </c>
      <c r="G7" s="5" t="n">
        <f aca="false">SUMIFS(Výdeje!$F$2:$F$841,Výdeje!$C$2:$C$841,Léky!$A$6,Výdeje!$A$2:$A$841,DATE(2025,6,1))</f>
        <v>10</v>
      </c>
      <c r="H7" s="5" t="n">
        <f aca="false">SUMIFS(Výdeje!$F$2:$F$841,Výdeje!$C$2:$C$841,Léky!$A$6,Výdeje!$A$2:$A$841,DATE(2025,7,1))</f>
        <v>9</v>
      </c>
      <c r="I7" s="5" t="n">
        <f aca="false">SUMIFS(Výdeje!$F$2:$F$841,Výdeje!$C$2:$C$841,Léky!$A$6,Výdeje!$A$2:$A$841,DATE(2025,8,1))</f>
        <v>11</v>
      </c>
      <c r="J7" s="5" t="n">
        <f aca="false">SUMIFS(Výdeje!$F$2:$F$841,Výdeje!$C$2:$C$841,Léky!$A$6,Výdeje!$A$2:$A$841,DATE(2025,9,1))</f>
        <v>11</v>
      </c>
      <c r="K7" s="5" t="n">
        <f aca="false">SUMIFS(Výdeje!$F$2:$F$841,Výdeje!$C$2:$C$841,Léky!$A$6,Výdeje!$A$2:$A$841,DATE(2025,10,1))</f>
        <v>10</v>
      </c>
      <c r="L7" s="5" t="n">
        <f aca="false">SUMIFS(Výdeje!$F$2:$F$841,Výdeje!$C$2:$C$841,Léky!$A$6,Výdeje!$A$2:$A$841,DATE(2025,11,1))</f>
        <v>10</v>
      </c>
      <c r="M7" s="5" t="n">
        <f aca="false">SUMIFS(Výdeje!$F$2:$F$841,Výdeje!$C$2:$C$841,Léky!$A$6,Výdeje!$A$2:$A$841,DATE(2025,12,1))</f>
        <v>7</v>
      </c>
      <c r="N7" s="5" t="n">
        <f aca="false">SUM(B7:M7)</f>
        <v>107</v>
      </c>
    </row>
    <row r="8" customFormat="false" ht="15" hidden="false" customHeight="false" outlineLevel="0" collapsed="false">
      <c r="A8" s="2" t="str">
        <f aca="false">Léky!B7</f>
        <v>Omeprazol 20 mg</v>
      </c>
      <c r="B8" s="5" t="n">
        <f aca="false">SUMIFS(Výdeje!$F$2:$F$841,Výdeje!$C$2:$C$841,Léky!$A$7,Výdeje!$A$2:$A$841,DATE(2025,1,1))</f>
        <v>9</v>
      </c>
      <c r="C8" s="5" t="n">
        <f aca="false">SUMIFS(Výdeje!$F$2:$F$841,Výdeje!$C$2:$C$841,Léky!$A$7,Výdeje!$A$2:$A$841,DATE(2025,2,1))</f>
        <v>9</v>
      </c>
      <c r="D8" s="5" t="n">
        <f aca="false">SUMIFS(Výdeje!$F$2:$F$841,Výdeje!$C$2:$C$841,Léky!$A$7,Výdeje!$A$2:$A$841,DATE(2025,3,1))</f>
        <v>9</v>
      </c>
      <c r="E8" s="5" t="n">
        <f aca="false">SUMIFS(Výdeje!$F$2:$F$841,Výdeje!$C$2:$C$841,Léky!$A$7,Výdeje!$A$2:$A$841,DATE(2025,4,1))</f>
        <v>9</v>
      </c>
      <c r="F8" s="5" t="n">
        <f aca="false">SUMIFS(Výdeje!$F$2:$F$841,Výdeje!$C$2:$C$841,Léky!$A$7,Výdeje!$A$2:$A$841,DATE(2025,5,1))</f>
        <v>8</v>
      </c>
      <c r="G8" s="5" t="n">
        <f aca="false">SUMIFS(Výdeje!$F$2:$F$841,Výdeje!$C$2:$C$841,Léky!$A$7,Výdeje!$A$2:$A$841,DATE(2025,6,1))</f>
        <v>9</v>
      </c>
      <c r="H8" s="5" t="n">
        <f aca="false">SUMIFS(Výdeje!$F$2:$F$841,Výdeje!$C$2:$C$841,Léky!$A$7,Výdeje!$A$2:$A$841,DATE(2025,7,1))</f>
        <v>10</v>
      </c>
      <c r="I8" s="5" t="n">
        <f aca="false">SUMIFS(Výdeje!$F$2:$F$841,Výdeje!$C$2:$C$841,Léky!$A$7,Výdeje!$A$2:$A$841,DATE(2025,8,1))</f>
        <v>11</v>
      </c>
      <c r="J8" s="5" t="n">
        <f aca="false">SUMIFS(Výdeje!$F$2:$F$841,Výdeje!$C$2:$C$841,Léky!$A$7,Výdeje!$A$2:$A$841,DATE(2025,9,1))</f>
        <v>10</v>
      </c>
      <c r="K8" s="5" t="n">
        <f aca="false">SUMIFS(Výdeje!$F$2:$F$841,Výdeje!$C$2:$C$841,Léky!$A$7,Výdeje!$A$2:$A$841,DATE(2025,10,1))</f>
        <v>10</v>
      </c>
      <c r="L8" s="5" t="n">
        <f aca="false">SUMIFS(Výdeje!$F$2:$F$841,Výdeje!$C$2:$C$841,Léky!$A$7,Výdeje!$A$2:$A$841,DATE(2025,11,1))</f>
        <v>10</v>
      </c>
      <c r="M8" s="5" t="n">
        <f aca="false">SUMIFS(Výdeje!$F$2:$F$841,Výdeje!$C$2:$C$841,Léky!$A$7,Výdeje!$A$2:$A$841,DATE(2025,12,1))</f>
        <v>11</v>
      </c>
      <c r="N8" s="5" t="n">
        <f aca="false">SUM(B8:M8)</f>
        <v>115</v>
      </c>
    </row>
    <row r="9" customFormat="false" ht="15" hidden="false" customHeight="false" outlineLevel="0" collapsed="false">
      <c r="A9" s="2" t="str">
        <f aca="false">Léky!B8</f>
        <v>Sertralin 50 mg</v>
      </c>
      <c r="B9" s="5" t="n">
        <f aca="false">SUMIFS(Výdeje!$F$2:$F$841,Výdeje!$C$2:$C$841,Léky!$A$8,Výdeje!$A$2:$A$841,DATE(2025,1,1))</f>
        <v>6</v>
      </c>
      <c r="C9" s="5" t="n">
        <f aca="false">SUMIFS(Výdeje!$F$2:$F$841,Výdeje!$C$2:$C$841,Léky!$A$8,Výdeje!$A$2:$A$841,DATE(2025,2,1))</f>
        <v>5</v>
      </c>
      <c r="D9" s="5" t="n">
        <f aca="false">SUMIFS(Výdeje!$F$2:$F$841,Výdeje!$C$2:$C$841,Léky!$A$8,Výdeje!$A$2:$A$841,DATE(2025,3,1))</f>
        <v>5</v>
      </c>
      <c r="E9" s="5" t="n">
        <f aca="false">SUMIFS(Výdeje!$F$2:$F$841,Výdeje!$C$2:$C$841,Léky!$A$8,Výdeje!$A$2:$A$841,DATE(2025,4,1))</f>
        <v>5</v>
      </c>
      <c r="F9" s="5" t="n">
        <f aca="false">SUMIFS(Výdeje!$F$2:$F$841,Výdeje!$C$2:$C$841,Léky!$A$8,Výdeje!$A$2:$A$841,DATE(2025,5,1))</f>
        <v>5</v>
      </c>
      <c r="G9" s="5" t="n">
        <f aca="false">SUMIFS(Výdeje!$F$2:$F$841,Výdeje!$C$2:$C$841,Léky!$A$8,Výdeje!$A$2:$A$841,DATE(2025,6,1))</f>
        <v>6</v>
      </c>
      <c r="H9" s="5" t="n">
        <f aca="false">SUMIFS(Výdeje!$F$2:$F$841,Výdeje!$C$2:$C$841,Léky!$A$8,Výdeje!$A$2:$A$841,DATE(2025,7,1))</f>
        <v>4</v>
      </c>
      <c r="I9" s="5" t="n">
        <f aca="false">SUMIFS(Výdeje!$F$2:$F$841,Výdeje!$C$2:$C$841,Léky!$A$8,Výdeje!$A$2:$A$841,DATE(2025,8,1))</f>
        <v>5</v>
      </c>
      <c r="J9" s="5" t="n">
        <f aca="false">SUMIFS(Výdeje!$F$2:$F$841,Výdeje!$C$2:$C$841,Léky!$A$8,Výdeje!$A$2:$A$841,DATE(2025,9,1))</f>
        <v>4</v>
      </c>
      <c r="K9" s="5" t="n">
        <f aca="false">SUMIFS(Výdeje!$F$2:$F$841,Výdeje!$C$2:$C$841,Léky!$A$8,Výdeje!$A$2:$A$841,DATE(2025,10,1))</f>
        <v>5</v>
      </c>
      <c r="L9" s="5" t="n">
        <f aca="false">SUMIFS(Výdeje!$F$2:$F$841,Výdeje!$C$2:$C$841,Léky!$A$8,Výdeje!$A$2:$A$841,DATE(2025,11,1))</f>
        <v>5</v>
      </c>
      <c r="M9" s="5" t="n">
        <f aca="false">SUMIFS(Výdeje!$F$2:$F$841,Výdeje!$C$2:$C$841,Léky!$A$8,Výdeje!$A$2:$A$841,DATE(2025,12,1))</f>
        <v>5</v>
      </c>
      <c r="N9" s="5" t="n">
        <f aca="false">SUM(B9:M9)</f>
        <v>60</v>
      </c>
    </row>
    <row r="10" customFormat="false" ht="15" hidden="false" customHeight="false" outlineLevel="0" collapsed="false">
      <c r="A10" s="2" t="str">
        <f aca="false">Léky!B9</f>
        <v>Salbutamol inhalátor</v>
      </c>
      <c r="B10" s="5" t="n">
        <f aca="false">SUMIFS(Výdeje!$F$2:$F$841,Výdeje!$C$2:$C$841,Léky!$A$9,Výdeje!$A$2:$A$841,DATE(2025,1,1))</f>
        <v>4</v>
      </c>
      <c r="C10" s="5" t="n">
        <f aca="false">SUMIFS(Výdeje!$F$2:$F$841,Výdeje!$C$2:$C$841,Léky!$A$9,Výdeje!$A$2:$A$841,DATE(2025,2,1))</f>
        <v>3</v>
      </c>
      <c r="D10" s="5" t="n">
        <f aca="false">SUMIFS(Výdeje!$F$2:$F$841,Výdeje!$C$2:$C$841,Léky!$A$9,Výdeje!$A$2:$A$841,DATE(2025,3,1))</f>
        <v>2</v>
      </c>
      <c r="E10" s="5" t="n">
        <f aca="false">SUMIFS(Výdeje!$F$2:$F$841,Výdeje!$C$2:$C$841,Léky!$A$9,Výdeje!$A$2:$A$841,DATE(2025,4,1))</f>
        <v>1</v>
      </c>
      <c r="F10" s="5" t="n">
        <f aca="false">SUMIFS(Výdeje!$F$2:$F$841,Výdeje!$C$2:$C$841,Léky!$A$9,Výdeje!$A$2:$A$841,DATE(2025,5,1))</f>
        <v>1</v>
      </c>
      <c r="G10" s="5" t="n">
        <f aca="false">SUMIFS(Výdeje!$F$2:$F$841,Výdeje!$C$2:$C$841,Léky!$A$9,Výdeje!$A$2:$A$841,DATE(2025,6,1))</f>
        <v>1</v>
      </c>
      <c r="H10" s="5" t="n">
        <f aca="false">SUMIFS(Výdeje!$F$2:$F$841,Výdeje!$C$2:$C$841,Léky!$A$9,Výdeje!$A$2:$A$841,DATE(2025,7,1))</f>
        <v>1</v>
      </c>
      <c r="I10" s="5" t="n">
        <f aca="false">SUMIFS(Výdeje!$F$2:$F$841,Výdeje!$C$2:$C$841,Léky!$A$9,Výdeje!$A$2:$A$841,DATE(2025,8,1))</f>
        <v>1</v>
      </c>
      <c r="J10" s="5" t="n">
        <f aca="false">SUMIFS(Výdeje!$F$2:$F$841,Výdeje!$C$2:$C$841,Léky!$A$9,Výdeje!$A$2:$A$841,DATE(2025,9,1))</f>
        <v>3</v>
      </c>
      <c r="K10" s="5" t="n">
        <f aca="false">SUMIFS(Výdeje!$F$2:$F$841,Výdeje!$C$2:$C$841,Léky!$A$9,Výdeje!$A$2:$A$841,DATE(2025,10,1))</f>
        <v>1</v>
      </c>
      <c r="L10" s="5" t="n">
        <f aca="false">SUMIFS(Výdeje!$F$2:$F$841,Výdeje!$C$2:$C$841,Léky!$A$9,Výdeje!$A$2:$A$841,DATE(2025,11,1))</f>
        <v>3</v>
      </c>
      <c r="M10" s="5" t="n">
        <f aca="false">SUMIFS(Výdeje!$F$2:$F$841,Výdeje!$C$2:$C$841,Léky!$A$9,Výdeje!$A$2:$A$841,DATE(2025,12,1))</f>
        <v>4</v>
      </c>
      <c r="N10" s="5" t="n">
        <f aca="false">SUM(B10:M10)</f>
        <v>25</v>
      </c>
    </row>
    <row r="11" customFormat="false" ht="15" hidden="false" customHeight="false" outlineLevel="0" collapsed="false">
      <c r="A11" s="2" t="str">
        <f aca="false">Léky!B10</f>
        <v>Amoxicilin 500 mg</v>
      </c>
      <c r="B11" s="5" t="n">
        <f aca="false">SUMIFS(Výdeje!$F$2:$F$841,Výdeje!$C$2:$C$841,Léky!$A$10,Výdeje!$A$2:$A$841,DATE(2025,1,1))</f>
        <v>10</v>
      </c>
      <c r="C11" s="5" t="n">
        <f aca="false">SUMIFS(Výdeje!$F$2:$F$841,Výdeje!$C$2:$C$841,Léky!$A$10,Výdeje!$A$2:$A$841,DATE(2025,2,1))</f>
        <v>6</v>
      </c>
      <c r="D11" s="5" t="n">
        <f aca="false">SUMIFS(Výdeje!$F$2:$F$841,Výdeje!$C$2:$C$841,Léky!$A$10,Výdeje!$A$2:$A$841,DATE(2025,3,1))</f>
        <v>15</v>
      </c>
      <c r="E11" s="5" t="n">
        <f aca="false">SUMIFS(Výdeje!$F$2:$F$841,Výdeje!$C$2:$C$841,Léky!$A$10,Výdeje!$A$2:$A$841,DATE(2025,4,1))</f>
        <v>6</v>
      </c>
      <c r="F11" s="5" t="n">
        <f aca="false">SUMIFS(Výdeje!$F$2:$F$841,Výdeje!$C$2:$C$841,Léky!$A$10,Výdeje!$A$2:$A$841,DATE(2025,5,1))</f>
        <v>5</v>
      </c>
      <c r="G11" s="5" t="n">
        <f aca="false">SUMIFS(Výdeje!$F$2:$F$841,Výdeje!$C$2:$C$841,Léky!$A$10,Výdeje!$A$2:$A$841,DATE(2025,6,1))</f>
        <v>2</v>
      </c>
      <c r="H11" s="5" t="n">
        <f aca="false">SUMIFS(Výdeje!$F$2:$F$841,Výdeje!$C$2:$C$841,Léky!$A$10,Výdeje!$A$2:$A$841,DATE(2025,7,1))</f>
        <v>4</v>
      </c>
      <c r="I11" s="5" t="n">
        <f aca="false">SUMIFS(Výdeje!$F$2:$F$841,Výdeje!$C$2:$C$841,Léky!$A$10,Výdeje!$A$2:$A$841,DATE(2025,8,1))</f>
        <v>1</v>
      </c>
      <c r="J11" s="5" t="n">
        <f aca="false">SUMIFS(Výdeje!$F$2:$F$841,Výdeje!$C$2:$C$841,Léky!$A$10,Výdeje!$A$2:$A$841,DATE(2025,9,1))</f>
        <v>8</v>
      </c>
      <c r="K11" s="5" t="n">
        <f aca="false">SUMIFS(Výdeje!$F$2:$F$841,Výdeje!$C$2:$C$841,Léky!$A$10,Výdeje!$A$2:$A$841,DATE(2025,10,1))</f>
        <v>11</v>
      </c>
      <c r="L11" s="5" t="n">
        <f aca="false">SUMIFS(Výdeje!$F$2:$F$841,Výdeje!$C$2:$C$841,Léky!$A$10,Výdeje!$A$2:$A$841,DATE(2025,11,1))</f>
        <v>9</v>
      </c>
      <c r="M11" s="5" t="n">
        <f aca="false">SUMIFS(Výdeje!$F$2:$F$841,Výdeje!$C$2:$C$841,Léky!$A$10,Výdeje!$A$2:$A$841,DATE(2025,12,1))</f>
        <v>9</v>
      </c>
      <c r="N11" s="5" t="n">
        <f aca="false">SUM(B11:M11)</f>
        <v>86</v>
      </c>
    </row>
    <row r="12" customFormat="false" ht="15" hidden="false" customHeight="false" outlineLevel="0" collapsed="false">
      <c r="A12" s="2" t="str">
        <f aca="false">Léky!B11</f>
        <v>Ibuprofen 400 mg</v>
      </c>
      <c r="B12" s="5" t="n">
        <f aca="false">SUMIFS(Výdeje!$F$2:$F$841,Výdeje!$C$2:$C$841,Léky!$A$11,Výdeje!$A$2:$A$841,DATE(2025,1,1))</f>
        <v>6</v>
      </c>
      <c r="C12" s="5" t="n">
        <f aca="false">SUMIFS(Výdeje!$F$2:$F$841,Výdeje!$C$2:$C$841,Léky!$A$11,Výdeje!$A$2:$A$841,DATE(2025,2,1))</f>
        <v>9</v>
      </c>
      <c r="D12" s="5" t="n">
        <f aca="false">SUMIFS(Výdeje!$F$2:$F$841,Výdeje!$C$2:$C$841,Léky!$A$11,Výdeje!$A$2:$A$841,DATE(2025,3,1))</f>
        <v>6</v>
      </c>
      <c r="E12" s="5" t="n">
        <f aca="false">SUMIFS(Výdeje!$F$2:$F$841,Výdeje!$C$2:$C$841,Léky!$A$11,Výdeje!$A$2:$A$841,DATE(2025,4,1))</f>
        <v>11</v>
      </c>
      <c r="F12" s="5" t="n">
        <f aca="false">SUMIFS(Výdeje!$F$2:$F$841,Výdeje!$C$2:$C$841,Léky!$A$11,Výdeje!$A$2:$A$841,DATE(2025,5,1))</f>
        <v>4</v>
      </c>
      <c r="G12" s="5" t="n">
        <f aca="false">SUMIFS(Výdeje!$F$2:$F$841,Výdeje!$C$2:$C$841,Léky!$A$11,Výdeje!$A$2:$A$841,DATE(2025,6,1))</f>
        <v>10</v>
      </c>
      <c r="H12" s="5" t="n">
        <f aca="false">SUMIFS(Výdeje!$F$2:$F$841,Výdeje!$C$2:$C$841,Léky!$A$11,Výdeje!$A$2:$A$841,DATE(2025,7,1))</f>
        <v>5</v>
      </c>
      <c r="I12" s="5" t="n">
        <f aca="false">SUMIFS(Výdeje!$F$2:$F$841,Výdeje!$C$2:$C$841,Léky!$A$11,Výdeje!$A$2:$A$841,DATE(2025,8,1))</f>
        <v>6</v>
      </c>
      <c r="J12" s="5" t="n">
        <f aca="false">SUMIFS(Výdeje!$F$2:$F$841,Výdeje!$C$2:$C$841,Léky!$A$11,Výdeje!$A$2:$A$841,DATE(2025,9,1))</f>
        <v>10</v>
      </c>
      <c r="K12" s="5" t="n">
        <f aca="false">SUMIFS(Výdeje!$F$2:$F$841,Výdeje!$C$2:$C$841,Léky!$A$11,Výdeje!$A$2:$A$841,DATE(2025,10,1))</f>
        <v>2</v>
      </c>
      <c r="L12" s="5" t="n">
        <f aca="false">SUMIFS(Výdeje!$F$2:$F$841,Výdeje!$C$2:$C$841,Léky!$A$11,Výdeje!$A$2:$A$841,DATE(2025,11,1))</f>
        <v>4</v>
      </c>
      <c r="M12" s="5" t="n">
        <f aca="false">SUMIFS(Výdeje!$F$2:$F$841,Výdeje!$C$2:$C$841,Léky!$A$11,Výdeje!$A$2:$A$841,DATE(2025,12,1))</f>
        <v>4</v>
      </c>
      <c r="N12" s="5" t="n">
        <f aca="false">SUM(B12:M12)</f>
        <v>77</v>
      </c>
    </row>
    <row r="13" customFormat="false" ht="15" hidden="false" customHeight="false" outlineLevel="0" collapsed="false">
      <c r="A13" s="6" t="s">
        <v>23</v>
      </c>
      <c r="B13" s="7" t="n">
        <f aca="false">SUM(B3:B12)</f>
        <v>71</v>
      </c>
      <c r="C13" s="7" t="n">
        <f aca="false">SUM(C3:C12)</f>
        <v>71</v>
      </c>
      <c r="D13" s="7" t="n">
        <f aca="false">SUM(D3:D12)</f>
        <v>79</v>
      </c>
      <c r="E13" s="7" t="n">
        <f aca="false">SUM(E3:E12)</f>
        <v>69</v>
      </c>
      <c r="F13" s="7" t="n">
        <f aca="false">SUM(F3:F12)</f>
        <v>67</v>
      </c>
      <c r="G13" s="7" t="n">
        <f aca="false">SUM(G3:G12)</f>
        <v>74</v>
      </c>
      <c r="H13" s="7" t="n">
        <f aca="false">SUM(H3:H12)</f>
        <v>72</v>
      </c>
      <c r="I13" s="7" t="n">
        <f aca="false">SUM(I3:I12)</f>
        <v>73</v>
      </c>
      <c r="J13" s="7" t="n">
        <f aca="false">SUM(J3:J12)</f>
        <v>80</v>
      </c>
      <c r="K13" s="7" t="n">
        <f aca="false">SUM(K3:K12)</f>
        <v>78</v>
      </c>
      <c r="L13" s="7" t="n">
        <f aca="false">SUM(L3:L12)</f>
        <v>79</v>
      </c>
      <c r="M13" s="7" t="n">
        <f aca="false">SUM(M3:M12)</f>
        <v>80</v>
      </c>
      <c r="N13" s="7" t="n">
        <f aca="false">SUM(N3:N12)</f>
        <v>893</v>
      </c>
    </row>
    <row r="15" customFormat="false" ht="15" hidden="false" customHeight="false" outlineLevel="0" collapsed="false">
      <c r="A15" s="3" t="s">
        <v>24</v>
      </c>
    </row>
    <row r="16" customFormat="false" ht="15" hidden="false" customHeight="false" outlineLevel="0" collapsed="false">
      <c r="A16" s="4" t="s">
        <v>10</v>
      </c>
      <c r="B16" s="4" t="s">
        <v>11</v>
      </c>
      <c r="C16" s="4" t="s">
        <v>12</v>
      </c>
      <c r="D16" s="4" t="s">
        <v>13</v>
      </c>
      <c r="E16" s="4" t="s">
        <v>14</v>
      </c>
      <c r="F16" s="4" t="s">
        <v>15</v>
      </c>
      <c r="G16" s="4" t="s">
        <v>16</v>
      </c>
      <c r="H16" s="4" t="s">
        <v>17</v>
      </c>
      <c r="I16" s="4" t="s">
        <v>18</v>
      </c>
      <c r="J16" s="4" t="s">
        <v>19</v>
      </c>
      <c r="K16" s="4" t="s">
        <v>20</v>
      </c>
      <c r="L16" s="4" t="s">
        <v>21</v>
      </c>
      <c r="M16" s="4" t="s">
        <v>22</v>
      </c>
      <c r="N16" s="4" t="s">
        <v>23</v>
      </c>
    </row>
    <row r="17" customFormat="false" ht="15" hidden="false" customHeight="false" outlineLevel="0" collapsed="false">
      <c r="A17" s="2" t="str">
        <f aca="false">Léky!B2</f>
        <v>Metformin 500 mg</v>
      </c>
      <c r="B17" s="5" t="n">
        <f aca="false">SUMIFS(Výdeje!$H$2:$H$841,Výdeje!$C$2:$C$841,Léky!$A$2,Výdeje!$A$2:$A$841,DATE(2025,1,1))</f>
        <v>801</v>
      </c>
      <c r="C17" s="5" t="n">
        <f aca="false">SUMIFS(Výdeje!$H$2:$H$841,Výdeje!$C$2:$C$841,Léky!$A$2,Výdeje!$A$2:$A$841,DATE(2025,2,1))</f>
        <v>712</v>
      </c>
      <c r="D17" s="5" t="n">
        <f aca="false">SUMIFS(Výdeje!$H$2:$H$841,Výdeje!$C$2:$C$841,Léky!$A$2,Výdeje!$A$2:$A$841,DATE(2025,3,1))</f>
        <v>890</v>
      </c>
      <c r="E17" s="5" t="n">
        <f aca="false">SUMIFS(Výdeje!$H$2:$H$841,Výdeje!$C$2:$C$841,Léky!$A$2,Výdeje!$A$2:$A$841,DATE(2025,4,1))</f>
        <v>534</v>
      </c>
      <c r="F17" s="5" t="n">
        <f aca="false">SUMIFS(Výdeje!$H$2:$H$841,Výdeje!$C$2:$C$841,Léky!$A$2,Výdeje!$A$2:$A$841,DATE(2025,5,1))</f>
        <v>1068</v>
      </c>
      <c r="G17" s="5" t="n">
        <f aca="false">SUMIFS(Výdeje!$H$2:$H$841,Výdeje!$C$2:$C$841,Léky!$A$2,Výdeje!$A$2:$A$841,DATE(2025,6,1))</f>
        <v>979</v>
      </c>
      <c r="H17" s="5" t="n">
        <f aca="false">SUMIFS(Výdeje!$H$2:$H$841,Výdeje!$C$2:$C$841,Léky!$A$2,Výdeje!$A$2:$A$841,DATE(2025,7,1))</f>
        <v>979</v>
      </c>
      <c r="I17" s="5" t="n">
        <f aca="false">SUMIFS(Výdeje!$H$2:$H$841,Výdeje!$C$2:$C$841,Léky!$A$2,Výdeje!$A$2:$A$841,DATE(2025,8,1))</f>
        <v>801</v>
      </c>
      <c r="J17" s="5" t="n">
        <f aca="false">SUMIFS(Výdeje!$H$2:$H$841,Výdeje!$C$2:$C$841,Léky!$A$2,Výdeje!$A$2:$A$841,DATE(2025,9,1))</f>
        <v>801</v>
      </c>
      <c r="K17" s="5" t="n">
        <f aca="false">SUMIFS(Výdeje!$H$2:$H$841,Výdeje!$C$2:$C$841,Léky!$A$2,Výdeje!$A$2:$A$841,DATE(2025,10,1))</f>
        <v>890</v>
      </c>
      <c r="L17" s="5" t="n">
        <f aca="false">SUMIFS(Výdeje!$H$2:$H$841,Výdeje!$C$2:$C$841,Léky!$A$2,Výdeje!$A$2:$A$841,DATE(2025,11,1))</f>
        <v>890</v>
      </c>
      <c r="M17" s="5" t="n">
        <f aca="false">SUMIFS(Výdeje!$H$2:$H$841,Výdeje!$C$2:$C$841,Léky!$A$2,Výdeje!$A$2:$A$841,DATE(2025,12,1))</f>
        <v>1068</v>
      </c>
      <c r="N17" s="5" t="n">
        <f aca="false">SUM(B17:M17)</f>
        <v>10413</v>
      </c>
    </row>
    <row r="18" customFormat="false" ht="15" hidden="false" customHeight="false" outlineLevel="0" collapsed="false">
      <c r="A18" s="2" t="str">
        <f aca="false">Léky!B3</f>
        <v>Atorvastatin 20 mg</v>
      </c>
      <c r="B18" s="5" t="n">
        <f aca="false">SUMIFS(Výdeje!$H$2:$H$841,Výdeje!$C$2:$C$841,Léky!$A$3,Výdeje!$A$2:$A$841,DATE(2025,1,1))</f>
        <v>435</v>
      </c>
      <c r="C18" s="5" t="n">
        <f aca="false">SUMIFS(Výdeje!$H$2:$H$841,Výdeje!$C$2:$C$841,Léky!$A$3,Výdeje!$A$2:$A$841,DATE(2025,2,1))</f>
        <v>435</v>
      </c>
      <c r="D18" s="5" t="n">
        <f aca="false">SUMIFS(Výdeje!$H$2:$H$841,Výdeje!$C$2:$C$841,Léky!$A$3,Výdeje!$A$2:$A$841,DATE(2025,3,1))</f>
        <v>435</v>
      </c>
      <c r="E18" s="5" t="n">
        <f aca="false">SUMIFS(Výdeje!$H$2:$H$841,Výdeje!$C$2:$C$841,Léky!$A$3,Výdeje!$A$2:$A$841,DATE(2025,4,1))</f>
        <v>580</v>
      </c>
      <c r="F18" s="5" t="n">
        <f aca="false">SUMIFS(Výdeje!$H$2:$H$841,Výdeje!$C$2:$C$841,Léky!$A$3,Výdeje!$A$2:$A$841,DATE(2025,5,1))</f>
        <v>580</v>
      </c>
      <c r="G18" s="5" t="n">
        <f aca="false">SUMIFS(Výdeje!$H$2:$H$841,Výdeje!$C$2:$C$841,Léky!$A$3,Výdeje!$A$2:$A$841,DATE(2025,6,1))</f>
        <v>580</v>
      </c>
      <c r="H18" s="5" t="n">
        <f aca="false">SUMIFS(Výdeje!$H$2:$H$841,Výdeje!$C$2:$C$841,Léky!$A$3,Výdeje!$A$2:$A$841,DATE(2025,7,1))</f>
        <v>725</v>
      </c>
      <c r="I18" s="5" t="n">
        <f aca="false">SUMIFS(Výdeje!$H$2:$H$841,Výdeje!$C$2:$C$841,Léky!$A$3,Výdeje!$A$2:$A$841,DATE(2025,8,1))</f>
        <v>725</v>
      </c>
      <c r="J18" s="5" t="n">
        <f aca="false">SUMIFS(Výdeje!$H$2:$H$841,Výdeje!$C$2:$C$841,Léky!$A$3,Výdeje!$A$2:$A$841,DATE(2025,9,1))</f>
        <v>870</v>
      </c>
      <c r="K18" s="5" t="n">
        <f aca="false">SUMIFS(Výdeje!$H$2:$H$841,Výdeje!$C$2:$C$841,Léky!$A$3,Výdeje!$A$2:$A$841,DATE(2025,10,1))</f>
        <v>725</v>
      </c>
      <c r="L18" s="5" t="n">
        <f aca="false">SUMIFS(Výdeje!$H$2:$H$841,Výdeje!$C$2:$C$841,Léky!$A$3,Výdeje!$A$2:$A$841,DATE(2025,11,1))</f>
        <v>725</v>
      </c>
      <c r="M18" s="5" t="n">
        <f aca="false">SUMIFS(Výdeje!$H$2:$H$841,Výdeje!$C$2:$C$841,Léky!$A$3,Výdeje!$A$2:$A$841,DATE(2025,12,1))</f>
        <v>725</v>
      </c>
      <c r="N18" s="5" t="n">
        <f aca="false">SUM(B18:M18)</f>
        <v>7540</v>
      </c>
    </row>
    <row r="19" customFormat="false" ht="15" hidden="false" customHeight="false" outlineLevel="0" collapsed="false">
      <c r="A19" s="2" t="str">
        <f aca="false">Léky!B4</f>
        <v>Amlodipin 5 mg</v>
      </c>
      <c r="B19" s="5" t="n">
        <f aca="false">SUMIFS(Výdeje!$H$2:$H$841,Výdeje!$C$2:$C$841,Léky!$A$4,Výdeje!$A$2:$A$841,DATE(2025,1,1))</f>
        <v>720</v>
      </c>
      <c r="C19" s="5" t="n">
        <f aca="false">SUMIFS(Výdeje!$H$2:$H$841,Výdeje!$C$2:$C$841,Léky!$A$4,Výdeje!$A$2:$A$841,DATE(2025,2,1))</f>
        <v>720</v>
      </c>
      <c r="D19" s="5" t="n">
        <f aca="false">SUMIFS(Výdeje!$H$2:$H$841,Výdeje!$C$2:$C$841,Léky!$A$4,Výdeje!$A$2:$A$841,DATE(2025,3,1))</f>
        <v>720</v>
      </c>
      <c r="E19" s="5" t="n">
        <f aca="false">SUMIFS(Výdeje!$H$2:$H$841,Výdeje!$C$2:$C$841,Léky!$A$4,Výdeje!$A$2:$A$841,DATE(2025,4,1))</f>
        <v>792</v>
      </c>
      <c r="F19" s="5" t="n">
        <f aca="false">SUMIFS(Výdeje!$H$2:$H$841,Výdeje!$C$2:$C$841,Léky!$A$4,Výdeje!$A$2:$A$841,DATE(2025,5,1))</f>
        <v>720</v>
      </c>
      <c r="G19" s="5" t="n">
        <f aca="false">SUMIFS(Výdeje!$H$2:$H$841,Výdeje!$C$2:$C$841,Léky!$A$4,Výdeje!$A$2:$A$841,DATE(2025,6,1))</f>
        <v>720</v>
      </c>
      <c r="H19" s="5" t="n">
        <f aca="false">SUMIFS(Výdeje!$H$2:$H$841,Výdeje!$C$2:$C$841,Léky!$A$4,Výdeje!$A$2:$A$841,DATE(2025,7,1))</f>
        <v>864</v>
      </c>
      <c r="I19" s="5" t="n">
        <f aca="false">SUMIFS(Výdeje!$H$2:$H$841,Výdeje!$C$2:$C$841,Léky!$A$4,Výdeje!$A$2:$A$841,DATE(2025,8,1))</f>
        <v>936</v>
      </c>
      <c r="J19" s="5" t="n">
        <f aca="false">SUMIFS(Výdeje!$H$2:$H$841,Výdeje!$C$2:$C$841,Léky!$A$4,Výdeje!$A$2:$A$841,DATE(2025,9,1))</f>
        <v>792</v>
      </c>
      <c r="K19" s="5" t="n">
        <f aca="false">SUMIFS(Výdeje!$H$2:$H$841,Výdeje!$C$2:$C$841,Léky!$A$4,Výdeje!$A$2:$A$841,DATE(2025,10,1))</f>
        <v>936</v>
      </c>
      <c r="L19" s="5" t="n">
        <f aca="false">SUMIFS(Výdeje!$H$2:$H$841,Výdeje!$C$2:$C$841,Léky!$A$4,Výdeje!$A$2:$A$841,DATE(2025,11,1))</f>
        <v>792</v>
      </c>
      <c r="M19" s="5" t="n">
        <f aca="false">SUMIFS(Výdeje!$H$2:$H$841,Výdeje!$C$2:$C$841,Léky!$A$4,Výdeje!$A$2:$A$841,DATE(2025,12,1))</f>
        <v>936</v>
      </c>
      <c r="N19" s="5" t="n">
        <f aca="false">SUM(B19:M19)</f>
        <v>9648</v>
      </c>
    </row>
    <row r="20" customFormat="false" ht="15" hidden="false" customHeight="false" outlineLevel="0" collapsed="false">
      <c r="A20" s="2" t="str">
        <f aca="false">Léky!B5</f>
        <v>Ramipril 5 mg</v>
      </c>
      <c r="B20" s="5" t="n">
        <f aca="false">SUMIFS(Výdeje!$H$2:$H$841,Výdeje!$C$2:$C$841,Léky!$A$5,Výdeje!$A$2:$A$841,DATE(2025,1,1))</f>
        <v>686</v>
      </c>
      <c r="C20" s="5" t="n">
        <f aca="false">SUMIFS(Výdeje!$H$2:$H$841,Výdeje!$C$2:$C$841,Léky!$A$5,Výdeje!$A$2:$A$841,DATE(2025,2,1))</f>
        <v>980</v>
      </c>
      <c r="D20" s="5" t="n">
        <f aca="false">SUMIFS(Výdeje!$H$2:$H$841,Výdeje!$C$2:$C$841,Léky!$A$5,Výdeje!$A$2:$A$841,DATE(2025,3,1))</f>
        <v>1078</v>
      </c>
      <c r="E20" s="5" t="n">
        <f aca="false">SUMIFS(Výdeje!$H$2:$H$841,Výdeje!$C$2:$C$841,Léky!$A$5,Výdeje!$A$2:$A$841,DATE(2025,4,1))</f>
        <v>784</v>
      </c>
      <c r="F20" s="5" t="n">
        <f aca="false">SUMIFS(Výdeje!$H$2:$H$841,Výdeje!$C$2:$C$841,Léky!$A$5,Výdeje!$A$2:$A$841,DATE(2025,5,1))</f>
        <v>980</v>
      </c>
      <c r="G20" s="5" t="n">
        <f aca="false">SUMIFS(Výdeje!$H$2:$H$841,Výdeje!$C$2:$C$841,Léky!$A$5,Výdeje!$A$2:$A$841,DATE(2025,6,1))</f>
        <v>1078</v>
      </c>
      <c r="H20" s="5" t="n">
        <f aca="false">SUMIFS(Výdeje!$H$2:$H$841,Výdeje!$C$2:$C$841,Léky!$A$5,Výdeje!$A$2:$A$841,DATE(2025,7,1))</f>
        <v>1078</v>
      </c>
      <c r="I20" s="5" t="n">
        <f aca="false">SUMIFS(Výdeje!$H$2:$H$841,Výdeje!$C$2:$C$841,Léky!$A$5,Výdeje!$A$2:$A$841,DATE(2025,8,1))</f>
        <v>1078</v>
      </c>
      <c r="J20" s="5" t="n">
        <f aca="false">SUMIFS(Výdeje!$H$2:$H$841,Výdeje!$C$2:$C$841,Léky!$A$5,Výdeje!$A$2:$A$841,DATE(2025,9,1))</f>
        <v>784</v>
      </c>
      <c r="K20" s="5" t="n">
        <f aca="false">SUMIFS(Výdeje!$H$2:$H$841,Výdeje!$C$2:$C$841,Léky!$A$5,Výdeje!$A$2:$A$841,DATE(2025,10,1))</f>
        <v>1078</v>
      </c>
      <c r="L20" s="5" t="n">
        <f aca="false">SUMIFS(Výdeje!$H$2:$H$841,Výdeje!$C$2:$C$841,Léky!$A$5,Výdeje!$A$2:$A$841,DATE(2025,11,1))</f>
        <v>1176</v>
      </c>
      <c r="M20" s="5" t="n">
        <f aca="false">SUMIFS(Výdeje!$H$2:$H$841,Výdeje!$C$2:$C$841,Léky!$A$5,Výdeje!$A$2:$A$841,DATE(2025,12,1))</f>
        <v>980</v>
      </c>
      <c r="N20" s="5" t="n">
        <f aca="false">SUM(B20:M20)</f>
        <v>11760</v>
      </c>
    </row>
    <row r="21" customFormat="false" ht="15" hidden="false" customHeight="false" outlineLevel="0" collapsed="false">
      <c r="A21" s="2" t="str">
        <f aca="false">Léky!B6</f>
        <v>Levothyroxin 50 µg</v>
      </c>
      <c r="B21" s="5" t="n">
        <f aca="false">SUMIFS(Výdeje!$H$2:$H$841,Výdeje!$C$2:$C$841,Léky!$A$6,Výdeje!$A$2:$A$841,DATE(2025,1,1))</f>
        <v>826</v>
      </c>
      <c r="C21" s="5" t="n">
        <f aca="false">SUMIFS(Výdeje!$H$2:$H$841,Výdeje!$C$2:$C$841,Léky!$A$6,Výdeje!$A$2:$A$841,DATE(2025,2,1))</f>
        <v>944</v>
      </c>
      <c r="D21" s="5" t="n">
        <f aca="false">SUMIFS(Výdeje!$H$2:$H$841,Výdeje!$C$2:$C$841,Léky!$A$6,Výdeje!$A$2:$A$841,DATE(2025,3,1))</f>
        <v>944</v>
      </c>
      <c r="E21" s="5" t="n">
        <f aca="false">SUMIFS(Výdeje!$H$2:$H$841,Výdeje!$C$2:$C$841,Léky!$A$6,Výdeje!$A$2:$A$841,DATE(2025,4,1))</f>
        <v>944</v>
      </c>
      <c r="F21" s="5" t="n">
        <f aca="false">SUMIFS(Výdeje!$H$2:$H$841,Výdeje!$C$2:$C$841,Léky!$A$6,Výdeje!$A$2:$A$841,DATE(2025,5,1))</f>
        <v>944</v>
      </c>
      <c r="G21" s="5" t="n">
        <f aca="false">SUMIFS(Výdeje!$H$2:$H$841,Výdeje!$C$2:$C$841,Léky!$A$6,Výdeje!$A$2:$A$841,DATE(2025,6,1))</f>
        <v>1180</v>
      </c>
      <c r="H21" s="5" t="n">
        <f aca="false">SUMIFS(Výdeje!$H$2:$H$841,Výdeje!$C$2:$C$841,Léky!$A$6,Výdeje!$A$2:$A$841,DATE(2025,7,1))</f>
        <v>1062</v>
      </c>
      <c r="I21" s="5" t="n">
        <f aca="false">SUMIFS(Výdeje!$H$2:$H$841,Výdeje!$C$2:$C$841,Léky!$A$6,Výdeje!$A$2:$A$841,DATE(2025,8,1))</f>
        <v>1298</v>
      </c>
      <c r="J21" s="5" t="n">
        <f aca="false">SUMIFS(Výdeje!$H$2:$H$841,Výdeje!$C$2:$C$841,Léky!$A$6,Výdeje!$A$2:$A$841,DATE(2025,9,1))</f>
        <v>1298</v>
      </c>
      <c r="K21" s="5" t="n">
        <f aca="false">SUMIFS(Výdeje!$H$2:$H$841,Výdeje!$C$2:$C$841,Léky!$A$6,Výdeje!$A$2:$A$841,DATE(2025,10,1))</f>
        <v>1180</v>
      </c>
      <c r="L21" s="5" t="n">
        <f aca="false">SUMIFS(Výdeje!$H$2:$H$841,Výdeje!$C$2:$C$841,Léky!$A$6,Výdeje!$A$2:$A$841,DATE(2025,11,1))</f>
        <v>1180</v>
      </c>
      <c r="M21" s="5" t="n">
        <f aca="false">SUMIFS(Výdeje!$H$2:$H$841,Výdeje!$C$2:$C$841,Léky!$A$6,Výdeje!$A$2:$A$841,DATE(2025,12,1))</f>
        <v>826</v>
      </c>
      <c r="N21" s="5" t="n">
        <f aca="false">SUM(B21:M21)</f>
        <v>12626</v>
      </c>
    </row>
    <row r="22" customFormat="false" ht="15" hidden="false" customHeight="false" outlineLevel="0" collapsed="false">
      <c r="A22" s="2" t="str">
        <f aca="false">Léky!B7</f>
        <v>Omeprazol 20 mg</v>
      </c>
      <c r="B22" s="5" t="n">
        <f aca="false">SUMIFS(Výdeje!$H$2:$H$841,Výdeje!$C$2:$C$841,Léky!$A$7,Výdeje!$A$2:$A$841,DATE(2025,1,1))</f>
        <v>1215</v>
      </c>
      <c r="C22" s="5" t="n">
        <f aca="false">SUMIFS(Výdeje!$H$2:$H$841,Výdeje!$C$2:$C$841,Léky!$A$7,Výdeje!$A$2:$A$841,DATE(2025,2,1))</f>
        <v>1215</v>
      </c>
      <c r="D22" s="5" t="n">
        <f aca="false">SUMIFS(Výdeje!$H$2:$H$841,Výdeje!$C$2:$C$841,Léky!$A$7,Výdeje!$A$2:$A$841,DATE(2025,3,1))</f>
        <v>1215</v>
      </c>
      <c r="E22" s="5" t="n">
        <f aca="false">SUMIFS(Výdeje!$H$2:$H$841,Výdeje!$C$2:$C$841,Léky!$A$7,Výdeje!$A$2:$A$841,DATE(2025,4,1))</f>
        <v>1215</v>
      </c>
      <c r="F22" s="5" t="n">
        <f aca="false">SUMIFS(Výdeje!$H$2:$H$841,Výdeje!$C$2:$C$841,Léky!$A$7,Výdeje!$A$2:$A$841,DATE(2025,5,1))</f>
        <v>1080</v>
      </c>
      <c r="G22" s="5" t="n">
        <f aca="false">SUMIFS(Výdeje!$H$2:$H$841,Výdeje!$C$2:$C$841,Léky!$A$7,Výdeje!$A$2:$A$841,DATE(2025,6,1))</f>
        <v>1215</v>
      </c>
      <c r="H22" s="5" t="n">
        <f aca="false">SUMIFS(Výdeje!$H$2:$H$841,Výdeje!$C$2:$C$841,Léky!$A$7,Výdeje!$A$2:$A$841,DATE(2025,7,1))</f>
        <v>1350</v>
      </c>
      <c r="I22" s="5" t="n">
        <f aca="false">SUMIFS(Výdeje!$H$2:$H$841,Výdeje!$C$2:$C$841,Léky!$A$7,Výdeje!$A$2:$A$841,DATE(2025,8,1))</f>
        <v>1485</v>
      </c>
      <c r="J22" s="5" t="n">
        <f aca="false">SUMIFS(Výdeje!$H$2:$H$841,Výdeje!$C$2:$C$841,Léky!$A$7,Výdeje!$A$2:$A$841,DATE(2025,9,1))</f>
        <v>1350</v>
      </c>
      <c r="K22" s="5" t="n">
        <f aca="false">SUMIFS(Výdeje!$H$2:$H$841,Výdeje!$C$2:$C$841,Léky!$A$7,Výdeje!$A$2:$A$841,DATE(2025,10,1))</f>
        <v>1350</v>
      </c>
      <c r="L22" s="5" t="n">
        <f aca="false">SUMIFS(Výdeje!$H$2:$H$841,Výdeje!$C$2:$C$841,Léky!$A$7,Výdeje!$A$2:$A$841,DATE(2025,11,1))</f>
        <v>1350</v>
      </c>
      <c r="M22" s="5" t="n">
        <f aca="false">SUMIFS(Výdeje!$H$2:$H$841,Výdeje!$C$2:$C$841,Léky!$A$7,Výdeje!$A$2:$A$841,DATE(2025,12,1))</f>
        <v>1485</v>
      </c>
      <c r="N22" s="5" t="n">
        <f aca="false">SUM(B22:M22)</f>
        <v>15525</v>
      </c>
    </row>
    <row r="23" customFormat="false" ht="15" hidden="false" customHeight="false" outlineLevel="0" collapsed="false">
      <c r="A23" s="2" t="str">
        <f aca="false">Léky!B8</f>
        <v>Sertralin 50 mg</v>
      </c>
      <c r="B23" s="5" t="n">
        <f aca="false">SUMIFS(Výdeje!$H$2:$H$841,Výdeje!$C$2:$C$841,Léky!$A$8,Výdeje!$A$2:$A$841,DATE(2025,1,1))</f>
        <v>1260</v>
      </c>
      <c r="C23" s="5" t="n">
        <f aca="false">SUMIFS(Výdeje!$H$2:$H$841,Výdeje!$C$2:$C$841,Léky!$A$8,Výdeje!$A$2:$A$841,DATE(2025,2,1))</f>
        <v>1050</v>
      </c>
      <c r="D23" s="5" t="n">
        <f aca="false">SUMIFS(Výdeje!$H$2:$H$841,Výdeje!$C$2:$C$841,Léky!$A$8,Výdeje!$A$2:$A$841,DATE(2025,3,1))</f>
        <v>1050</v>
      </c>
      <c r="E23" s="5" t="n">
        <f aca="false">SUMIFS(Výdeje!$H$2:$H$841,Výdeje!$C$2:$C$841,Léky!$A$8,Výdeje!$A$2:$A$841,DATE(2025,4,1))</f>
        <v>1050</v>
      </c>
      <c r="F23" s="5" t="n">
        <f aca="false">SUMIFS(Výdeje!$H$2:$H$841,Výdeje!$C$2:$C$841,Léky!$A$8,Výdeje!$A$2:$A$841,DATE(2025,5,1))</f>
        <v>1050</v>
      </c>
      <c r="G23" s="5" t="n">
        <f aca="false">SUMIFS(Výdeje!$H$2:$H$841,Výdeje!$C$2:$C$841,Léky!$A$8,Výdeje!$A$2:$A$841,DATE(2025,6,1))</f>
        <v>1260</v>
      </c>
      <c r="H23" s="5" t="n">
        <f aca="false">SUMIFS(Výdeje!$H$2:$H$841,Výdeje!$C$2:$C$841,Léky!$A$8,Výdeje!$A$2:$A$841,DATE(2025,7,1))</f>
        <v>840</v>
      </c>
      <c r="I23" s="5" t="n">
        <f aca="false">SUMIFS(Výdeje!$H$2:$H$841,Výdeje!$C$2:$C$841,Léky!$A$8,Výdeje!$A$2:$A$841,DATE(2025,8,1))</f>
        <v>1050</v>
      </c>
      <c r="J23" s="5" t="n">
        <f aca="false">SUMIFS(Výdeje!$H$2:$H$841,Výdeje!$C$2:$C$841,Léky!$A$8,Výdeje!$A$2:$A$841,DATE(2025,9,1))</f>
        <v>840</v>
      </c>
      <c r="K23" s="5" t="n">
        <f aca="false">SUMIFS(Výdeje!$H$2:$H$841,Výdeje!$C$2:$C$841,Léky!$A$8,Výdeje!$A$2:$A$841,DATE(2025,10,1))</f>
        <v>1050</v>
      </c>
      <c r="L23" s="5" t="n">
        <f aca="false">SUMIFS(Výdeje!$H$2:$H$841,Výdeje!$C$2:$C$841,Léky!$A$8,Výdeje!$A$2:$A$841,DATE(2025,11,1))</f>
        <v>1050</v>
      </c>
      <c r="M23" s="5" t="n">
        <f aca="false">SUMIFS(Výdeje!$H$2:$H$841,Výdeje!$C$2:$C$841,Léky!$A$8,Výdeje!$A$2:$A$841,DATE(2025,12,1))</f>
        <v>1050</v>
      </c>
      <c r="N23" s="5" t="n">
        <f aca="false">SUM(B23:M23)</f>
        <v>12600</v>
      </c>
    </row>
    <row r="24" customFormat="false" ht="15" hidden="false" customHeight="false" outlineLevel="0" collapsed="false">
      <c r="A24" s="2" t="str">
        <f aca="false">Léky!B9</f>
        <v>Salbutamol inhalátor</v>
      </c>
      <c r="B24" s="5" t="n">
        <f aca="false">SUMIFS(Výdeje!$H$2:$H$841,Výdeje!$C$2:$C$841,Léky!$A$9,Výdeje!$A$2:$A$841,DATE(2025,1,1))</f>
        <v>660</v>
      </c>
      <c r="C24" s="5" t="n">
        <f aca="false">SUMIFS(Výdeje!$H$2:$H$841,Výdeje!$C$2:$C$841,Léky!$A$9,Výdeje!$A$2:$A$841,DATE(2025,2,1))</f>
        <v>495</v>
      </c>
      <c r="D24" s="5" t="n">
        <f aca="false">SUMIFS(Výdeje!$H$2:$H$841,Výdeje!$C$2:$C$841,Léky!$A$9,Výdeje!$A$2:$A$841,DATE(2025,3,1))</f>
        <v>330</v>
      </c>
      <c r="E24" s="5" t="n">
        <f aca="false">SUMIFS(Výdeje!$H$2:$H$841,Výdeje!$C$2:$C$841,Léky!$A$9,Výdeje!$A$2:$A$841,DATE(2025,4,1))</f>
        <v>165</v>
      </c>
      <c r="F24" s="5" t="n">
        <f aca="false">SUMIFS(Výdeje!$H$2:$H$841,Výdeje!$C$2:$C$841,Léky!$A$9,Výdeje!$A$2:$A$841,DATE(2025,5,1))</f>
        <v>165</v>
      </c>
      <c r="G24" s="5" t="n">
        <f aca="false">SUMIFS(Výdeje!$H$2:$H$841,Výdeje!$C$2:$C$841,Léky!$A$9,Výdeje!$A$2:$A$841,DATE(2025,6,1))</f>
        <v>165</v>
      </c>
      <c r="H24" s="5" t="n">
        <f aca="false">SUMIFS(Výdeje!$H$2:$H$841,Výdeje!$C$2:$C$841,Léky!$A$9,Výdeje!$A$2:$A$841,DATE(2025,7,1))</f>
        <v>165</v>
      </c>
      <c r="I24" s="5" t="n">
        <f aca="false">SUMIFS(Výdeje!$H$2:$H$841,Výdeje!$C$2:$C$841,Léky!$A$9,Výdeje!$A$2:$A$841,DATE(2025,8,1))</f>
        <v>165</v>
      </c>
      <c r="J24" s="5" t="n">
        <f aca="false">SUMIFS(Výdeje!$H$2:$H$841,Výdeje!$C$2:$C$841,Léky!$A$9,Výdeje!$A$2:$A$841,DATE(2025,9,1))</f>
        <v>495</v>
      </c>
      <c r="K24" s="5" t="n">
        <f aca="false">SUMIFS(Výdeje!$H$2:$H$841,Výdeje!$C$2:$C$841,Léky!$A$9,Výdeje!$A$2:$A$841,DATE(2025,10,1))</f>
        <v>165</v>
      </c>
      <c r="L24" s="5" t="n">
        <f aca="false">SUMIFS(Výdeje!$H$2:$H$841,Výdeje!$C$2:$C$841,Léky!$A$9,Výdeje!$A$2:$A$841,DATE(2025,11,1))</f>
        <v>495</v>
      </c>
      <c r="M24" s="5" t="n">
        <f aca="false">SUMIFS(Výdeje!$H$2:$H$841,Výdeje!$C$2:$C$841,Léky!$A$9,Výdeje!$A$2:$A$841,DATE(2025,12,1))</f>
        <v>660</v>
      </c>
      <c r="N24" s="5" t="n">
        <f aca="false">SUM(B24:M24)</f>
        <v>4125</v>
      </c>
    </row>
    <row r="25" customFormat="false" ht="15" hidden="false" customHeight="false" outlineLevel="0" collapsed="false">
      <c r="A25" s="2" t="str">
        <f aca="false">Léky!B10</f>
        <v>Amoxicilin 500 mg</v>
      </c>
      <c r="B25" s="5" t="n">
        <f aca="false">SUMIFS(Výdeje!$H$2:$H$841,Výdeje!$C$2:$C$841,Léky!$A$10,Výdeje!$A$2:$A$841,DATE(2025,1,1))</f>
        <v>1200</v>
      </c>
      <c r="C25" s="5" t="n">
        <f aca="false">SUMIFS(Výdeje!$H$2:$H$841,Výdeje!$C$2:$C$841,Léky!$A$10,Výdeje!$A$2:$A$841,DATE(2025,2,1))</f>
        <v>720</v>
      </c>
      <c r="D25" s="5" t="n">
        <f aca="false">SUMIFS(Výdeje!$H$2:$H$841,Výdeje!$C$2:$C$841,Léky!$A$10,Výdeje!$A$2:$A$841,DATE(2025,3,1))</f>
        <v>1800</v>
      </c>
      <c r="E25" s="5" t="n">
        <f aca="false">SUMIFS(Výdeje!$H$2:$H$841,Výdeje!$C$2:$C$841,Léky!$A$10,Výdeje!$A$2:$A$841,DATE(2025,4,1))</f>
        <v>720</v>
      </c>
      <c r="F25" s="5" t="n">
        <f aca="false">SUMIFS(Výdeje!$H$2:$H$841,Výdeje!$C$2:$C$841,Léky!$A$10,Výdeje!$A$2:$A$841,DATE(2025,5,1))</f>
        <v>600</v>
      </c>
      <c r="G25" s="5" t="n">
        <f aca="false">SUMIFS(Výdeje!$H$2:$H$841,Výdeje!$C$2:$C$841,Léky!$A$10,Výdeje!$A$2:$A$841,DATE(2025,6,1))</f>
        <v>240</v>
      </c>
      <c r="H25" s="5" t="n">
        <f aca="false">SUMIFS(Výdeje!$H$2:$H$841,Výdeje!$C$2:$C$841,Léky!$A$10,Výdeje!$A$2:$A$841,DATE(2025,7,1))</f>
        <v>480</v>
      </c>
      <c r="I25" s="5" t="n">
        <f aca="false">SUMIFS(Výdeje!$H$2:$H$841,Výdeje!$C$2:$C$841,Léky!$A$10,Výdeje!$A$2:$A$841,DATE(2025,8,1))</f>
        <v>120</v>
      </c>
      <c r="J25" s="5" t="n">
        <f aca="false">SUMIFS(Výdeje!$H$2:$H$841,Výdeje!$C$2:$C$841,Léky!$A$10,Výdeje!$A$2:$A$841,DATE(2025,9,1))</f>
        <v>960</v>
      </c>
      <c r="K25" s="5" t="n">
        <f aca="false">SUMIFS(Výdeje!$H$2:$H$841,Výdeje!$C$2:$C$841,Léky!$A$10,Výdeje!$A$2:$A$841,DATE(2025,10,1))</f>
        <v>1320</v>
      </c>
      <c r="L25" s="5" t="n">
        <f aca="false">SUMIFS(Výdeje!$H$2:$H$841,Výdeje!$C$2:$C$841,Léky!$A$10,Výdeje!$A$2:$A$841,DATE(2025,11,1))</f>
        <v>1080</v>
      </c>
      <c r="M25" s="5" t="n">
        <f aca="false">SUMIFS(Výdeje!$H$2:$H$841,Výdeje!$C$2:$C$841,Léky!$A$10,Výdeje!$A$2:$A$841,DATE(2025,12,1))</f>
        <v>1080</v>
      </c>
      <c r="N25" s="5" t="n">
        <f aca="false">SUM(B25:M25)</f>
        <v>10320</v>
      </c>
    </row>
    <row r="26" customFormat="false" ht="15" hidden="false" customHeight="false" outlineLevel="0" collapsed="false">
      <c r="A26" s="2" t="str">
        <f aca="false">Léky!B11</f>
        <v>Ibuprofen 400 mg</v>
      </c>
      <c r="B26" s="5" t="n">
        <f aca="false">SUMIFS(Výdeje!$H$2:$H$841,Výdeje!$C$2:$C$841,Léky!$A$11,Výdeje!$A$2:$A$841,DATE(2025,1,1))</f>
        <v>390</v>
      </c>
      <c r="C26" s="5" t="n">
        <f aca="false">SUMIFS(Výdeje!$H$2:$H$841,Výdeje!$C$2:$C$841,Léky!$A$11,Výdeje!$A$2:$A$841,DATE(2025,2,1))</f>
        <v>585</v>
      </c>
      <c r="D26" s="5" t="n">
        <f aca="false">SUMIFS(Výdeje!$H$2:$H$841,Výdeje!$C$2:$C$841,Léky!$A$11,Výdeje!$A$2:$A$841,DATE(2025,3,1))</f>
        <v>390</v>
      </c>
      <c r="E26" s="5" t="n">
        <f aca="false">SUMIFS(Výdeje!$H$2:$H$841,Výdeje!$C$2:$C$841,Léky!$A$11,Výdeje!$A$2:$A$841,DATE(2025,4,1))</f>
        <v>715</v>
      </c>
      <c r="F26" s="5" t="n">
        <f aca="false">SUMIFS(Výdeje!$H$2:$H$841,Výdeje!$C$2:$C$841,Léky!$A$11,Výdeje!$A$2:$A$841,DATE(2025,5,1))</f>
        <v>260</v>
      </c>
      <c r="G26" s="5" t="n">
        <f aca="false">SUMIFS(Výdeje!$H$2:$H$841,Výdeje!$C$2:$C$841,Léky!$A$11,Výdeje!$A$2:$A$841,DATE(2025,6,1))</f>
        <v>650</v>
      </c>
      <c r="H26" s="5" t="n">
        <f aca="false">SUMIFS(Výdeje!$H$2:$H$841,Výdeje!$C$2:$C$841,Léky!$A$11,Výdeje!$A$2:$A$841,DATE(2025,7,1))</f>
        <v>325</v>
      </c>
      <c r="I26" s="5" t="n">
        <f aca="false">SUMIFS(Výdeje!$H$2:$H$841,Výdeje!$C$2:$C$841,Léky!$A$11,Výdeje!$A$2:$A$841,DATE(2025,8,1))</f>
        <v>390</v>
      </c>
      <c r="J26" s="5" t="n">
        <f aca="false">SUMIFS(Výdeje!$H$2:$H$841,Výdeje!$C$2:$C$841,Léky!$A$11,Výdeje!$A$2:$A$841,DATE(2025,9,1))</f>
        <v>650</v>
      </c>
      <c r="K26" s="5" t="n">
        <f aca="false">SUMIFS(Výdeje!$H$2:$H$841,Výdeje!$C$2:$C$841,Léky!$A$11,Výdeje!$A$2:$A$841,DATE(2025,10,1))</f>
        <v>130</v>
      </c>
      <c r="L26" s="5" t="n">
        <f aca="false">SUMIFS(Výdeje!$H$2:$H$841,Výdeje!$C$2:$C$841,Léky!$A$11,Výdeje!$A$2:$A$841,DATE(2025,11,1))</f>
        <v>260</v>
      </c>
      <c r="M26" s="5" t="n">
        <f aca="false">SUMIFS(Výdeje!$H$2:$H$841,Výdeje!$C$2:$C$841,Léky!$A$11,Výdeje!$A$2:$A$841,DATE(2025,12,1))</f>
        <v>260</v>
      </c>
      <c r="N26" s="5" t="n">
        <f aca="false">SUM(B26:M26)</f>
        <v>5005</v>
      </c>
    </row>
    <row r="27" customFormat="false" ht="15" hidden="false" customHeight="false" outlineLevel="0" collapsed="false">
      <c r="A27" s="6" t="s">
        <v>23</v>
      </c>
      <c r="B27" s="7" t="n">
        <f aca="false">SUM(B17:B26)</f>
        <v>8193</v>
      </c>
      <c r="C27" s="7" t="n">
        <f aca="false">SUM(C17:C26)</f>
        <v>7856</v>
      </c>
      <c r="D27" s="7" t="n">
        <f aca="false">SUM(D17:D26)</f>
        <v>8852</v>
      </c>
      <c r="E27" s="7" t="n">
        <f aca="false">SUM(E17:E26)</f>
        <v>7499</v>
      </c>
      <c r="F27" s="7" t="n">
        <f aca="false">SUM(F17:F26)</f>
        <v>7447</v>
      </c>
      <c r="G27" s="7" t="n">
        <f aca="false">SUM(G17:G26)</f>
        <v>8067</v>
      </c>
      <c r="H27" s="7" t="n">
        <f aca="false">SUM(H17:H26)</f>
        <v>7868</v>
      </c>
      <c r="I27" s="7" t="n">
        <f aca="false">SUM(I17:I26)</f>
        <v>8048</v>
      </c>
      <c r="J27" s="7" t="n">
        <f aca="false">SUM(J17:J26)</f>
        <v>8840</v>
      </c>
      <c r="K27" s="7" t="n">
        <f aca="false">SUM(K17:K26)</f>
        <v>8824</v>
      </c>
      <c r="L27" s="7" t="n">
        <f aca="false">SUM(L17:L26)</f>
        <v>8998</v>
      </c>
      <c r="M27" s="7" t="n">
        <f aca="false">SUM(M17:M26)</f>
        <v>9070</v>
      </c>
      <c r="N27" s="7" t="n">
        <f aca="false">SUM(N17:N26)</f>
        <v>99562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26.85" hidden="false" customHeight="false" outlineLevel="0" collapsed="false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</row>
    <row r="2" customFormat="false" ht="15" hidden="false" customHeight="false" outlineLevel="0" collapsed="false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9" t="n">
        <v>89</v>
      </c>
      <c r="I2" s="2" t="s">
        <v>41</v>
      </c>
    </row>
    <row r="3" customFormat="false" ht="15" hidden="false" customHeight="false" outlineLevel="0" collapsed="false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39</v>
      </c>
      <c r="G3" s="2" t="s">
        <v>47</v>
      </c>
      <c r="H3" s="9" t="n">
        <v>145</v>
      </c>
      <c r="I3" s="2" t="s">
        <v>41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39</v>
      </c>
      <c r="G4" s="2" t="s">
        <v>47</v>
      </c>
      <c r="H4" s="9" t="n">
        <v>72</v>
      </c>
      <c r="I4" s="2" t="s">
        <v>41</v>
      </c>
    </row>
    <row r="5" customFormat="false" ht="15" hidden="false" customHeight="false" outlineLevel="0" collapsed="false">
      <c r="A5" s="2" t="s">
        <v>53</v>
      </c>
      <c r="B5" s="2" t="s">
        <v>54</v>
      </c>
      <c r="C5" s="2" t="s">
        <v>55</v>
      </c>
      <c r="D5" s="2" t="s">
        <v>56</v>
      </c>
      <c r="E5" s="2" t="s">
        <v>52</v>
      </c>
      <c r="F5" s="2" t="s">
        <v>39</v>
      </c>
      <c r="G5" s="2" t="s">
        <v>47</v>
      </c>
      <c r="H5" s="9" t="n">
        <v>98</v>
      </c>
      <c r="I5" s="2" t="s">
        <v>41</v>
      </c>
    </row>
    <row r="6" customFormat="false" ht="15" hidden="false" customHeight="false" outlineLevel="0" collapsed="false">
      <c r="A6" s="2" t="s">
        <v>57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39</v>
      </c>
      <c r="G6" s="2" t="s">
        <v>62</v>
      </c>
      <c r="H6" s="9" t="n">
        <v>118</v>
      </c>
      <c r="I6" s="2" t="s">
        <v>41</v>
      </c>
    </row>
    <row r="7" customFormat="false" ht="15" hidden="false" customHeight="false" outlineLevel="0" collapsed="false">
      <c r="A7" s="2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69</v>
      </c>
      <c r="H7" s="9" t="n">
        <v>135</v>
      </c>
      <c r="I7" s="2" t="s">
        <v>41</v>
      </c>
    </row>
    <row r="8" customFormat="false" ht="15" hidden="false" customHeight="false" outlineLevel="0" collapsed="false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39</v>
      </c>
      <c r="G8" s="2" t="s">
        <v>75</v>
      </c>
      <c r="H8" s="9" t="n">
        <v>210</v>
      </c>
      <c r="I8" s="2" t="s">
        <v>41</v>
      </c>
    </row>
    <row r="9" customFormat="false" ht="15" hidden="false" customHeight="false" outlineLevel="0" collapsed="false">
      <c r="A9" s="2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82</v>
      </c>
      <c r="H9" s="9" t="n">
        <v>165</v>
      </c>
      <c r="I9" s="2" t="s">
        <v>83</v>
      </c>
    </row>
    <row r="10" customFormat="false" ht="15" hidden="false" customHeight="false" outlineLevel="0" collapsed="false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68</v>
      </c>
      <c r="G10" s="2" t="s">
        <v>89</v>
      </c>
      <c r="H10" s="9" t="n">
        <v>120</v>
      </c>
      <c r="I10" s="2" t="s">
        <v>90</v>
      </c>
    </row>
    <row r="11" customFormat="false" ht="15" hidden="false" customHeight="false" outlineLevel="0" collapsed="false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39</v>
      </c>
      <c r="G11" s="2" t="s">
        <v>47</v>
      </c>
      <c r="H11" s="9" t="n">
        <v>65</v>
      </c>
      <c r="I11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15"/>
  </cols>
  <sheetData>
    <row r="1" customFormat="false" ht="26.85" hidden="false" customHeight="false" outlineLevel="0" collapsed="false">
      <c r="A1" s="8" t="s">
        <v>96</v>
      </c>
      <c r="B1" s="8" t="s">
        <v>97</v>
      </c>
      <c r="C1" s="8" t="s">
        <v>98</v>
      </c>
      <c r="D1" s="8" t="s">
        <v>99</v>
      </c>
      <c r="E1" s="8" t="s">
        <v>100</v>
      </c>
      <c r="F1" s="8" t="s">
        <v>101</v>
      </c>
      <c r="G1" s="8" t="s">
        <v>102</v>
      </c>
    </row>
    <row r="2" customFormat="false" ht="15" hidden="false" customHeight="false" outlineLevel="0" collapsed="false">
      <c r="A2" s="2" t="s">
        <v>103</v>
      </c>
      <c r="B2" s="2" t="s">
        <v>104</v>
      </c>
      <c r="C2" s="2" t="n">
        <v>1959</v>
      </c>
      <c r="D2" s="2" t="n">
        <f aca="false">2025-C2</f>
        <v>66</v>
      </c>
      <c r="E2" s="2" t="s">
        <v>105</v>
      </c>
      <c r="F2" s="2" t="s">
        <v>106</v>
      </c>
      <c r="G2" s="10" t="n">
        <v>45539</v>
      </c>
    </row>
    <row r="3" customFormat="false" ht="15" hidden="false" customHeight="false" outlineLevel="0" collapsed="false">
      <c r="A3" s="2" t="s">
        <v>107</v>
      </c>
      <c r="B3" s="2" t="s">
        <v>104</v>
      </c>
      <c r="C3" s="2" t="n">
        <v>1947</v>
      </c>
      <c r="D3" s="2" t="n">
        <f aca="false">2025-C3</f>
        <v>78</v>
      </c>
      <c r="E3" s="2" t="s">
        <v>108</v>
      </c>
      <c r="F3" s="2" t="s">
        <v>109</v>
      </c>
      <c r="G3" s="10" t="n">
        <v>45487</v>
      </c>
    </row>
    <row r="4" customFormat="false" ht="15" hidden="false" customHeight="false" outlineLevel="0" collapsed="false">
      <c r="A4" s="2" t="s">
        <v>110</v>
      </c>
      <c r="B4" s="2" t="s">
        <v>111</v>
      </c>
      <c r="C4" s="2" t="n">
        <v>1970</v>
      </c>
      <c r="D4" s="2" t="n">
        <f aca="false">2025-C4</f>
        <v>55</v>
      </c>
      <c r="E4" s="2" t="s">
        <v>112</v>
      </c>
      <c r="F4" s="2" t="s">
        <v>113</v>
      </c>
      <c r="G4" s="10" t="n">
        <v>45569</v>
      </c>
    </row>
    <row r="5" customFormat="false" ht="15" hidden="false" customHeight="false" outlineLevel="0" collapsed="false">
      <c r="A5" s="2" t="s">
        <v>114</v>
      </c>
      <c r="B5" s="2" t="s">
        <v>111</v>
      </c>
      <c r="C5" s="2" t="n">
        <v>1947</v>
      </c>
      <c r="D5" s="2" t="n">
        <f aca="false">2025-C5</f>
        <v>78</v>
      </c>
      <c r="E5" s="2" t="s">
        <v>115</v>
      </c>
      <c r="F5" s="2" t="s">
        <v>113</v>
      </c>
      <c r="G5" s="10" t="n">
        <v>45384</v>
      </c>
    </row>
    <row r="6" customFormat="false" ht="15" hidden="false" customHeight="false" outlineLevel="0" collapsed="false">
      <c r="A6" s="2" t="s">
        <v>116</v>
      </c>
      <c r="B6" s="2" t="s">
        <v>111</v>
      </c>
      <c r="C6" s="2" t="n">
        <v>1977</v>
      </c>
      <c r="D6" s="2" t="n">
        <f aca="false">2025-C6</f>
        <v>48</v>
      </c>
      <c r="E6" s="2" t="s">
        <v>105</v>
      </c>
      <c r="F6" s="2" t="s">
        <v>117</v>
      </c>
      <c r="G6" s="10" t="n">
        <v>45430</v>
      </c>
    </row>
    <row r="7" customFormat="false" ht="15" hidden="false" customHeight="false" outlineLevel="0" collapsed="false">
      <c r="A7" s="2" t="s">
        <v>118</v>
      </c>
      <c r="B7" s="2" t="s">
        <v>111</v>
      </c>
      <c r="C7" s="2" t="n">
        <v>1953</v>
      </c>
      <c r="D7" s="2" t="n">
        <f aca="false">2025-C7</f>
        <v>72</v>
      </c>
      <c r="E7" s="2" t="s">
        <v>115</v>
      </c>
      <c r="F7" s="2" t="s">
        <v>109</v>
      </c>
      <c r="G7" s="10" t="n">
        <v>45558</v>
      </c>
    </row>
    <row r="8" customFormat="false" ht="15" hidden="false" customHeight="false" outlineLevel="0" collapsed="false">
      <c r="A8" s="2" t="s">
        <v>119</v>
      </c>
      <c r="B8" s="2" t="s">
        <v>111</v>
      </c>
      <c r="C8" s="2" t="n">
        <v>1947</v>
      </c>
      <c r="D8" s="2" t="n">
        <f aca="false">2025-C8</f>
        <v>78</v>
      </c>
      <c r="E8" s="2" t="s">
        <v>115</v>
      </c>
      <c r="F8" s="2" t="s">
        <v>113</v>
      </c>
      <c r="G8" s="10" t="n">
        <v>45498</v>
      </c>
    </row>
    <row r="9" customFormat="false" ht="15" hidden="false" customHeight="false" outlineLevel="0" collapsed="false">
      <c r="A9" s="2" t="s">
        <v>120</v>
      </c>
      <c r="B9" s="2" t="s">
        <v>104</v>
      </c>
      <c r="C9" s="2" t="n">
        <v>1999</v>
      </c>
      <c r="D9" s="2" t="n">
        <f aca="false">2025-C9</f>
        <v>26</v>
      </c>
      <c r="E9" s="2" t="s">
        <v>115</v>
      </c>
      <c r="F9" s="2" t="s">
        <v>113</v>
      </c>
      <c r="G9" s="10" t="n">
        <v>45408</v>
      </c>
    </row>
    <row r="10" customFormat="false" ht="15" hidden="false" customHeight="false" outlineLevel="0" collapsed="false">
      <c r="A10" s="2" t="s">
        <v>121</v>
      </c>
      <c r="B10" s="2" t="s">
        <v>111</v>
      </c>
      <c r="C10" s="2" t="n">
        <v>1971</v>
      </c>
      <c r="D10" s="2" t="n">
        <f aca="false">2025-C10</f>
        <v>54</v>
      </c>
      <c r="E10" s="2" t="s">
        <v>112</v>
      </c>
      <c r="F10" s="2" t="s">
        <v>122</v>
      </c>
      <c r="G10" s="10" t="n">
        <v>45467</v>
      </c>
    </row>
    <row r="11" customFormat="false" ht="15" hidden="false" customHeight="false" outlineLevel="0" collapsed="false">
      <c r="A11" s="2" t="s">
        <v>123</v>
      </c>
      <c r="B11" s="2" t="s">
        <v>104</v>
      </c>
      <c r="C11" s="2" t="n">
        <v>1976</v>
      </c>
      <c r="D11" s="2" t="n">
        <f aca="false">2025-C11</f>
        <v>49</v>
      </c>
      <c r="E11" s="2" t="s">
        <v>115</v>
      </c>
      <c r="F11" s="2" t="s">
        <v>106</v>
      </c>
      <c r="G11" s="10" t="n">
        <v>45479</v>
      </c>
    </row>
    <row r="12" customFormat="false" ht="15" hidden="false" customHeight="false" outlineLevel="0" collapsed="false">
      <c r="A12" s="2" t="s">
        <v>124</v>
      </c>
      <c r="B12" s="2" t="s">
        <v>104</v>
      </c>
      <c r="C12" s="2" t="n">
        <v>1959</v>
      </c>
      <c r="D12" s="2" t="n">
        <f aca="false">2025-C12</f>
        <v>66</v>
      </c>
      <c r="E12" s="2" t="s">
        <v>108</v>
      </c>
      <c r="F12" s="2" t="s">
        <v>113</v>
      </c>
      <c r="G12" s="10" t="n">
        <v>45599</v>
      </c>
    </row>
    <row r="13" customFormat="false" ht="15" hidden="false" customHeight="false" outlineLevel="0" collapsed="false">
      <c r="A13" s="2" t="s">
        <v>125</v>
      </c>
      <c r="B13" s="2" t="s">
        <v>104</v>
      </c>
      <c r="C13" s="2" t="n">
        <v>1983</v>
      </c>
      <c r="D13" s="2" t="n">
        <f aca="false">2025-C13</f>
        <v>42</v>
      </c>
      <c r="E13" s="2" t="s">
        <v>126</v>
      </c>
      <c r="F13" s="2" t="s">
        <v>117</v>
      </c>
      <c r="G13" s="10" t="n">
        <v>45507</v>
      </c>
    </row>
    <row r="14" customFormat="false" ht="15" hidden="false" customHeight="false" outlineLevel="0" collapsed="false">
      <c r="A14" s="2" t="s">
        <v>127</v>
      </c>
      <c r="B14" s="2" t="s">
        <v>111</v>
      </c>
      <c r="C14" s="2" t="n">
        <v>1974</v>
      </c>
      <c r="D14" s="2" t="n">
        <f aca="false">2025-C14</f>
        <v>51</v>
      </c>
      <c r="E14" s="2" t="s">
        <v>115</v>
      </c>
      <c r="F14" s="2" t="s">
        <v>106</v>
      </c>
      <c r="G14" s="10" t="n">
        <v>45636</v>
      </c>
    </row>
    <row r="15" customFormat="false" ht="15" hidden="false" customHeight="false" outlineLevel="0" collapsed="false">
      <c r="A15" s="2" t="s">
        <v>128</v>
      </c>
      <c r="B15" s="2" t="s">
        <v>104</v>
      </c>
      <c r="C15" s="2" t="n">
        <v>1976</v>
      </c>
      <c r="D15" s="2" t="n">
        <f aca="false">2025-C15</f>
        <v>49</v>
      </c>
      <c r="E15" s="2" t="s">
        <v>126</v>
      </c>
      <c r="F15" s="2" t="s">
        <v>122</v>
      </c>
      <c r="G15" s="10" t="n">
        <v>45516</v>
      </c>
    </row>
    <row r="16" customFormat="false" ht="15" hidden="false" customHeight="false" outlineLevel="0" collapsed="false">
      <c r="A16" s="2" t="s">
        <v>129</v>
      </c>
      <c r="B16" s="2" t="s">
        <v>111</v>
      </c>
      <c r="C16" s="2" t="n">
        <v>1954</v>
      </c>
      <c r="D16" s="2" t="n">
        <f aca="false">2025-C16</f>
        <v>71</v>
      </c>
      <c r="E16" s="2" t="s">
        <v>115</v>
      </c>
      <c r="F16" s="2" t="s">
        <v>109</v>
      </c>
      <c r="G16" s="10" t="n">
        <v>45375</v>
      </c>
    </row>
    <row r="17" customFormat="false" ht="15" hidden="false" customHeight="false" outlineLevel="0" collapsed="false">
      <c r="A17" s="2" t="s">
        <v>130</v>
      </c>
      <c r="B17" s="2" t="s">
        <v>111</v>
      </c>
      <c r="C17" s="2" t="n">
        <v>1990</v>
      </c>
      <c r="D17" s="2" t="n">
        <f aca="false">2025-C17</f>
        <v>35</v>
      </c>
      <c r="E17" s="2" t="s">
        <v>105</v>
      </c>
      <c r="F17" s="2" t="s">
        <v>113</v>
      </c>
      <c r="G17" s="10" t="n">
        <v>45517</v>
      </c>
    </row>
    <row r="18" customFormat="false" ht="15" hidden="false" customHeight="false" outlineLevel="0" collapsed="false">
      <c r="A18" s="2" t="s">
        <v>131</v>
      </c>
      <c r="B18" s="2" t="s">
        <v>104</v>
      </c>
      <c r="C18" s="2" t="n">
        <v>1957</v>
      </c>
      <c r="D18" s="2" t="n">
        <f aca="false">2025-C18</f>
        <v>68</v>
      </c>
      <c r="E18" s="2" t="s">
        <v>132</v>
      </c>
      <c r="F18" s="2" t="s">
        <v>117</v>
      </c>
      <c r="G18" s="10" t="n">
        <v>45485</v>
      </c>
    </row>
    <row r="19" customFormat="false" ht="15" hidden="false" customHeight="false" outlineLevel="0" collapsed="false">
      <c r="A19" s="2" t="s">
        <v>133</v>
      </c>
      <c r="B19" s="2" t="s">
        <v>104</v>
      </c>
      <c r="C19" s="2" t="n">
        <v>1969</v>
      </c>
      <c r="D19" s="2" t="n">
        <f aca="false">2025-C19</f>
        <v>56</v>
      </c>
      <c r="E19" s="2" t="s">
        <v>112</v>
      </c>
      <c r="F19" s="2" t="s">
        <v>109</v>
      </c>
      <c r="G19" s="10" t="n">
        <v>45604</v>
      </c>
    </row>
    <row r="20" customFormat="false" ht="15" hidden="false" customHeight="false" outlineLevel="0" collapsed="false">
      <c r="A20" s="2" t="s">
        <v>134</v>
      </c>
      <c r="B20" s="2" t="s">
        <v>111</v>
      </c>
      <c r="C20" s="2" t="n">
        <v>2002</v>
      </c>
      <c r="D20" s="2" t="n">
        <f aca="false">2025-C20</f>
        <v>23</v>
      </c>
      <c r="E20" s="2" t="s">
        <v>132</v>
      </c>
      <c r="F20" s="2" t="s">
        <v>109</v>
      </c>
      <c r="G20" s="10" t="n">
        <v>45296</v>
      </c>
    </row>
    <row r="21" customFormat="false" ht="15" hidden="false" customHeight="false" outlineLevel="0" collapsed="false">
      <c r="A21" s="2" t="s">
        <v>135</v>
      </c>
      <c r="B21" s="2" t="s">
        <v>104</v>
      </c>
      <c r="C21" s="2" t="n">
        <v>1987</v>
      </c>
      <c r="D21" s="2" t="n">
        <f aca="false">2025-C21</f>
        <v>38</v>
      </c>
      <c r="E21" s="2" t="s">
        <v>115</v>
      </c>
      <c r="F21" s="2" t="s">
        <v>122</v>
      </c>
      <c r="G21" s="10" t="n">
        <v>45836</v>
      </c>
    </row>
    <row r="22" customFormat="false" ht="15" hidden="false" customHeight="false" outlineLevel="0" collapsed="false">
      <c r="A22" s="2" t="s">
        <v>136</v>
      </c>
      <c r="B22" s="2" t="s">
        <v>111</v>
      </c>
      <c r="C22" s="2" t="n">
        <v>1998</v>
      </c>
      <c r="D22" s="2" t="n">
        <f aca="false">2025-C22</f>
        <v>27</v>
      </c>
      <c r="E22" s="2" t="s">
        <v>132</v>
      </c>
      <c r="F22" s="2" t="s">
        <v>117</v>
      </c>
      <c r="G22" s="10" t="n">
        <v>45486</v>
      </c>
    </row>
    <row r="23" customFormat="false" ht="15" hidden="false" customHeight="false" outlineLevel="0" collapsed="false">
      <c r="A23" s="2" t="s">
        <v>137</v>
      </c>
      <c r="B23" s="2" t="s">
        <v>111</v>
      </c>
      <c r="C23" s="2" t="n">
        <v>2001</v>
      </c>
      <c r="D23" s="2" t="n">
        <f aca="false">2025-C23</f>
        <v>24</v>
      </c>
      <c r="E23" s="2" t="s">
        <v>115</v>
      </c>
      <c r="F23" s="2" t="s">
        <v>106</v>
      </c>
      <c r="G23" s="10" t="n">
        <v>45397</v>
      </c>
    </row>
    <row r="24" customFormat="false" ht="15" hidden="false" customHeight="false" outlineLevel="0" collapsed="false">
      <c r="A24" s="2" t="s">
        <v>138</v>
      </c>
      <c r="B24" s="2" t="s">
        <v>111</v>
      </c>
      <c r="C24" s="2" t="n">
        <v>1954</v>
      </c>
      <c r="D24" s="2" t="n">
        <f aca="false">2025-C24</f>
        <v>71</v>
      </c>
      <c r="E24" s="2" t="s">
        <v>105</v>
      </c>
      <c r="F24" s="2" t="s">
        <v>106</v>
      </c>
      <c r="G24" s="10" t="n">
        <v>45570</v>
      </c>
    </row>
    <row r="25" customFormat="false" ht="15" hidden="false" customHeight="false" outlineLevel="0" collapsed="false">
      <c r="A25" s="2" t="s">
        <v>139</v>
      </c>
      <c r="B25" s="2" t="s">
        <v>111</v>
      </c>
      <c r="C25" s="2" t="n">
        <v>1986</v>
      </c>
      <c r="D25" s="2" t="n">
        <f aca="false">2025-C25</f>
        <v>39</v>
      </c>
      <c r="E25" s="2" t="s">
        <v>115</v>
      </c>
      <c r="F25" s="2" t="s">
        <v>106</v>
      </c>
      <c r="G25" s="10" t="n">
        <v>45790</v>
      </c>
    </row>
    <row r="26" customFormat="false" ht="15" hidden="false" customHeight="false" outlineLevel="0" collapsed="false">
      <c r="A26" s="2" t="s">
        <v>140</v>
      </c>
      <c r="B26" s="2" t="s">
        <v>111</v>
      </c>
      <c r="C26" s="2" t="n">
        <v>1972</v>
      </c>
      <c r="D26" s="2" t="n">
        <f aca="false">2025-C26</f>
        <v>53</v>
      </c>
      <c r="E26" s="2" t="s">
        <v>108</v>
      </c>
      <c r="F26" s="2" t="s">
        <v>117</v>
      </c>
      <c r="G26" s="10" t="n">
        <v>45326</v>
      </c>
    </row>
    <row r="27" customFormat="false" ht="15" hidden="false" customHeight="false" outlineLevel="0" collapsed="false">
      <c r="A27" s="2" t="s">
        <v>141</v>
      </c>
      <c r="B27" s="2" t="s">
        <v>104</v>
      </c>
      <c r="C27" s="2" t="n">
        <v>1999</v>
      </c>
      <c r="D27" s="2" t="n">
        <f aca="false">2025-C27</f>
        <v>26</v>
      </c>
      <c r="E27" s="2" t="s">
        <v>115</v>
      </c>
      <c r="F27" s="2" t="s">
        <v>122</v>
      </c>
      <c r="G27" s="10" t="n">
        <v>45346</v>
      </c>
    </row>
    <row r="28" customFormat="false" ht="15" hidden="false" customHeight="false" outlineLevel="0" collapsed="false">
      <c r="A28" s="2" t="s">
        <v>142</v>
      </c>
      <c r="B28" s="2" t="s">
        <v>104</v>
      </c>
      <c r="C28" s="2" t="n">
        <v>1973</v>
      </c>
      <c r="D28" s="2" t="n">
        <f aca="false">2025-C28</f>
        <v>52</v>
      </c>
      <c r="E28" s="2" t="s">
        <v>115</v>
      </c>
      <c r="F28" s="2" t="s">
        <v>109</v>
      </c>
      <c r="G28" s="10" t="n">
        <v>45399</v>
      </c>
    </row>
    <row r="29" customFormat="false" ht="15" hidden="false" customHeight="false" outlineLevel="0" collapsed="false">
      <c r="A29" s="2" t="s">
        <v>143</v>
      </c>
      <c r="B29" s="2" t="s">
        <v>104</v>
      </c>
      <c r="C29" s="2" t="n">
        <v>1958</v>
      </c>
      <c r="D29" s="2" t="n">
        <f aca="false">2025-C29</f>
        <v>67</v>
      </c>
      <c r="E29" s="2" t="s">
        <v>126</v>
      </c>
      <c r="F29" s="2" t="s">
        <v>106</v>
      </c>
      <c r="G29" s="10" t="n">
        <v>45433</v>
      </c>
    </row>
    <row r="30" customFormat="false" ht="15" hidden="false" customHeight="false" outlineLevel="0" collapsed="false">
      <c r="A30" s="2" t="s">
        <v>144</v>
      </c>
      <c r="B30" s="2" t="s">
        <v>111</v>
      </c>
      <c r="C30" s="2" t="n">
        <v>1973</v>
      </c>
      <c r="D30" s="2" t="n">
        <f aca="false">2025-C30</f>
        <v>52</v>
      </c>
      <c r="E30" s="2" t="s">
        <v>115</v>
      </c>
      <c r="F30" s="2" t="s">
        <v>109</v>
      </c>
      <c r="G30" s="10" t="n">
        <v>45400</v>
      </c>
    </row>
    <row r="31" customFormat="false" ht="15" hidden="false" customHeight="false" outlineLevel="0" collapsed="false">
      <c r="A31" s="2" t="s">
        <v>145</v>
      </c>
      <c r="B31" s="2" t="s">
        <v>104</v>
      </c>
      <c r="C31" s="2" t="n">
        <v>1968</v>
      </c>
      <c r="D31" s="2" t="n">
        <f aca="false">2025-C31</f>
        <v>57</v>
      </c>
      <c r="E31" s="2" t="s">
        <v>115</v>
      </c>
      <c r="F31" s="2" t="s">
        <v>109</v>
      </c>
      <c r="G31" s="10" t="n">
        <v>45771</v>
      </c>
    </row>
    <row r="32" customFormat="false" ht="15" hidden="false" customHeight="false" outlineLevel="0" collapsed="false">
      <c r="A32" s="2" t="s">
        <v>146</v>
      </c>
      <c r="B32" s="2" t="s">
        <v>111</v>
      </c>
      <c r="C32" s="2" t="n">
        <v>1965</v>
      </c>
      <c r="D32" s="2" t="n">
        <f aca="false">2025-C32</f>
        <v>60</v>
      </c>
      <c r="E32" s="2" t="s">
        <v>115</v>
      </c>
      <c r="F32" s="2" t="s">
        <v>122</v>
      </c>
      <c r="G32" s="10" t="n">
        <v>45317</v>
      </c>
    </row>
    <row r="33" customFormat="false" ht="15" hidden="false" customHeight="false" outlineLevel="0" collapsed="false">
      <c r="A33" s="2" t="s">
        <v>147</v>
      </c>
      <c r="B33" s="2" t="s">
        <v>104</v>
      </c>
      <c r="C33" s="2" t="n">
        <v>2000</v>
      </c>
      <c r="D33" s="2" t="n">
        <f aca="false">2025-C33</f>
        <v>25</v>
      </c>
      <c r="E33" s="2" t="s">
        <v>112</v>
      </c>
      <c r="F33" s="2" t="s">
        <v>117</v>
      </c>
      <c r="G33" s="10" t="n">
        <v>45773</v>
      </c>
    </row>
    <row r="34" customFormat="false" ht="15" hidden="false" customHeight="false" outlineLevel="0" collapsed="false">
      <c r="A34" s="2" t="s">
        <v>148</v>
      </c>
      <c r="B34" s="2" t="s">
        <v>104</v>
      </c>
      <c r="C34" s="2" t="n">
        <v>1986</v>
      </c>
      <c r="D34" s="2" t="n">
        <f aca="false">2025-C34</f>
        <v>39</v>
      </c>
      <c r="E34" s="2" t="s">
        <v>112</v>
      </c>
      <c r="F34" s="2" t="s">
        <v>106</v>
      </c>
      <c r="G34" s="10" t="n">
        <v>45393</v>
      </c>
    </row>
    <row r="35" customFormat="false" ht="15" hidden="false" customHeight="false" outlineLevel="0" collapsed="false">
      <c r="A35" s="2" t="s">
        <v>149</v>
      </c>
      <c r="B35" s="2" t="s">
        <v>111</v>
      </c>
      <c r="C35" s="2" t="n">
        <v>2001</v>
      </c>
      <c r="D35" s="2" t="n">
        <f aca="false">2025-C35</f>
        <v>24</v>
      </c>
      <c r="E35" s="2" t="s">
        <v>115</v>
      </c>
      <c r="F35" s="2" t="s">
        <v>117</v>
      </c>
      <c r="G35" s="10" t="n">
        <v>45768</v>
      </c>
    </row>
    <row r="36" customFormat="false" ht="15" hidden="false" customHeight="false" outlineLevel="0" collapsed="false">
      <c r="A36" s="2" t="s">
        <v>150</v>
      </c>
      <c r="B36" s="2" t="s">
        <v>104</v>
      </c>
      <c r="C36" s="2" t="n">
        <v>1950</v>
      </c>
      <c r="D36" s="2" t="n">
        <f aca="false">2025-C36</f>
        <v>75</v>
      </c>
      <c r="E36" s="2" t="s">
        <v>132</v>
      </c>
      <c r="F36" s="2" t="s">
        <v>106</v>
      </c>
      <c r="G36" s="10" t="n">
        <v>45833</v>
      </c>
    </row>
    <row r="37" customFormat="false" ht="15" hidden="false" customHeight="false" outlineLevel="0" collapsed="false">
      <c r="A37" s="2" t="s">
        <v>151</v>
      </c>
      <c r="B37" s="2" t="s">
        <v>111</v>
      </c>
      <c r="C37" s="2" t="n">
        <v>2001</v>
      </c>
      <c r="D37" s="2" t="n">
        <f aca="false">2025-C37</f>
        <v>24</v>
      </c>
      <c r="E37" s="2" t="s">
        <v>132</v>
      </c>
      <c r="F37" s="2" t="s">
        <v>113</v>
      </c>
      <c r="G37" s="10" t="n">
        <v>45446</v>
      </c>
    </row>
    <row r="38" customFormat="false" ht="15" hidden="false" customHeight="false" outlineLevel="0" collapsed="false">
      <c r="A38" s="2" t="s">
        <v>152</v>
      </c>
      <c r="B38" s="2" t="s">
        <v>104</v>
      </c>
      <c r="C38" s="2" t="n">
        <v>1999</v>
      </c>
      <c r="D38" s="2" t="n">
        <f aca="false">2025-C38</f>
        <v>26</v>
      </c>
      <c r="E38" s="2" t="s">
        <v>105</v>
      </c>
      <c r="F38" s="2" t="s">
        <v>106</v>
      </c>
      <c r="G38" s="10" t="n">
        <v>45356</v>
      </c>
    </row>
    <row r="39" customFormat="false" ht="15" hidden="false" customHeight="false" outlineLevel="0" collapsed="false">
      <c r="A39" s="2" t="s">
        <v>153</v>
      </c>
      <c r="B39" s="2" t="s">
        <v>111</v>
      </c>
      <c r="C39" s="2" t="n">
        <v>1959</v>
      </c>
      <c r="D39" s="2" t="n">
        <f aca="false">2025-C39</f>
        <v>66</v>
      </c>
      <c r="E39" s="2" t="s">
        <v>115</v>
      </c>
      <c r="F39" s="2" t="s">
        <v>113</v>
      </c>
      <c r="G39" s="10" t="n">
        <v>45708</v>
      </c>
    </row>
    <row r="40" customFormat="false" ht="15" hidden="false" customHeight="false" outlineLevel="0" collapsed="false">
      <c r="A40" s="2" t="s">
        <v>154</v>
      </c>
      <c r="B40" s="2" t="s">
        <v>104</v>
      </c>
      <c r="C40" s="2" t="n">
        <v>1984</v>
      </c>
      <c r="D40" s="2" t="n">
        <f aca="false">2025-C40</f>
        <v>41</v>
      </c>
      <c r="E40" s="2" t="s">
        <v>112</v>
      </c>
      <c r="F40" s="2" t="s">
        <v>117</v>
      </c>
      <c r="G40" s="10" t="n">
        <v>45317</v>
      </c>
    </row>
    <row r="41" customFormat="false" ht="15" hidden="false" customHeight="false" outlineLevel="0" collapsed="false">
      <c r="A41" s="2" t="s">
        <v>155</v>
      </c>
      <c r="B41" s="2" t="s">
        <v>111</v>
      </c>
      <c r="C41" s="2" t="n">
        <v>1957</v>
      </c>
      <c r="D41" s="2" t="n">
        <f aca="false">2025-C41</f>
        <v>68</v>
      </c>
      <c r="E41" s="2" t="s">
        <v>105</v>
      </c>
      <c r="F41" s="2" t="s">
        <v>109</v>
      </c>
      <c r="G41" s="10" t="n">
        <v>45689</v>
      </c>
    </row>
    <row r="42" customFormat="false" ht="15" hidden="false" customHeight="false" outlineLevel="0" collapsed="false">
      <c r="A42" s="2" t="s">
        <v>156</v>
      </c>
      <c r="B42" s="2" t="s">
        <v>104</v>
      </c>
      <c r="C42" s="2" t="n">
        <v>1967</v>
      </c>
      <c r="D42" s="2" t="n">
        <f aca="false">2025-C42</f>
        <v>58</v>
      </c>
      <c r="E42" s="2" t="s">
        <v>105</v>
      </c>
      <c r="F42" s="2" t="s">
        <v>109</v>
      </c>
      <c r="G42" s="10" t="n">
        <v>45452</v>
      </c>
    </row>
    <row r="43" customFormat="false" ht="15" hidden="false" customHeight="false" outlineLevel="0" collapsed="false">
      <c r="A43" s="2" t="s">
        <v>157</v>
      </c>
      <c r="B43" s="2" t="s">
        <v>104</v>
      </c>
      <c r="C43" s="2" t="n">
        <v>1956</v>
      </c>
      <c r="D43" s="2" t="n">
        <f aca="false">2025-C43</f>
        <v>69</v>
      </c>
      <c r="E43" s="2" t="s">
        <v>112</v>
      </c>
      <c r="F43" s="2" t="s">
        <v>122</v>
      </c>
      <c r="G43" s="10" t="n">
        <v>45827</v>
      </c>
    </row>
    <row r="44" customFormat="false" ht="15" hidden="false" customHeight="false" outlineLevel="0" collapsed="false">
      <c r="A44" s="2" t="s">
        <v>158</v>
      </c>
      <c r="B44" s="2" t="s">
        <v>104</v>
      </c>
      <c r="C44" s="2" t="n">
        <v>2004</v>
      </c>
      <c r="D44" s="2" t="n">
        <f aca="false">2025-C44</f>
        <v>21</v>
      </c>
      <c r="E44" s="2" t="s">
        <v>112</v>
      </c>
      <c r="F44" s="2" t="s">
        <v>109</v>
      </c>
      <c r="G44" s="10" t="n">
        <v>45319</v>
      </c>
    </row>
    <row r="45" customFormat="false" ht="15" hidden="false" customHeight="false" outlineLevel="0" collapsed="false">
      <c r="A45" s="2" t="s">
        <v>159</v>
      </c>
      <c r="B45" s="2" t="s">
        <v>104</v>
      </c>
      <c r="C45" s="2" t="n">
        <v>1963</v>
      </c>
      <c r="D45" s="2" t="n">
        <f aca="false">2025-C45</f>
        <v>62</v>
      </c>
      <c r="E45" s="2" t="s">
        <v>115</v>
      </c>
      <c r="F45" s="2" t="s">
        <v>109</v>
      </c>
      <c r="G45" s="10" t="n">
        <v>45524</v>
      </c>
    </row>
    <row r="46" customFormat="false" ht="15" hidden="false" customHeight="false" outlineLevel="0" collapsed="false">
      <c r="A46" s="2" t="s">
        <v>160</v>
      </c>
      <c r="B46" s="2" t="s">
        <v>111</v>
      </c>
      <c r="C46" s="2" t="n">
        <v>1947</v>
      </c>
      <c r="D46" s="2" t="n">
        <f aca="false">2025-C46</f>
        <v>78</v>
      </c>
      <c r="E46" s="2" t="s">
        <v>105</v>
      </c>
      <c r="F46" s="2" t="s">
        <v>117</v>
      </c>
      <c r="G46" s="10" t="n">
        <v>45530</v>
      </c>
    </row>
    <row r="47" customFormat="false" ht="15" hidden="false" customHeight="false" outlineLevel="0" collapsed="false">
      <c r="A47" s="2" t="s">
        <v>161</v>
      </c>
      <c r="B47" s="2" t="s">
        <v>111</v>
      </c>
      <c r="C47" s="2" t="n">
        <v>1947</v>
      </c>
      <c r="D47" s="2" t="n">
        <f aca="false">2025-C47</f>
        <v>78</v>
      </c>
      <c r="E47" s="2" t="s">
        <v>112</v>
      </c>
      <c r="F47" s="2" t="s">
        <v>122</v>
      </c>
      <c r="G47" s="10" t="n">
        <v>45339</v>
      </c>
    </row>
    <row r="48" customFormat="false" ht="15" hidden="false" customHeight="false" outlineLevel="0" collapsed="false">
      <c r="A48" s="2" t="s">
        <v>162</v>
      </c>
      <c r="B48" s="2" t="s">
        <v>104</v>
      </c>
      <c r="C48" s="2" t="n">
        <v>1943</v>
      </c>
      <c r="D48" s="2" t="n">
        <f aca="false">2025-C48</f>
        <v>82</v>
      </c>
      <c r="E48" s="2" t="s">
        <v>126</v>
      </c>
      <c r="F48" s="2" t="s">
        <v>106</v>
      </c>
      <c r="G48" s="10" t="n">
        <v>45582</v>
      </c>
    </row>
    <row r="49" customFormat="false" ht="15" hidden="false" customHeight="false" outlineLevel="0" collapsed="false">
      <c r="A49" s="2" t="s">
        <v>163</v>
      </c>
      <c r="B49" s="2" t="s">
        <v>111</v>
      </c>
      <c r="C49" s="2" t="n">
        <v>1975</v>
      </c>
      <c r="D49" s="2" t="n">
        <f aca="false">2025-C49</f>
        <v>50</v>
      </c>
      <c r="E49" s="2" t="s">
        <v>105</v>
      </c>
      <c r="F49" s="2" t="s">
        <v>117</v>
      </c>
      <c r="G49" s="10" t="n">
        <v>45785</v>
      </c>
    </row>
    <row r="50" customFormat="false" ht="15" hidden="false" customHeight="false" outlineLevel="0" collapsed="false">
      <c r="A50" s="2" t="s">
        <v>164</v>
      </c>
      <c r="B50" s="2" t="s">
        <v>104</v>
      </c>
      <c r="C50" s="2" t="n">
        <v>1965</v>
      </c>
      <c r="D50" s="2" t="n">
        <f aca="false">2025-C50</f>
        <v>60</v>
      </c>
      <c r="E50" s="2" t="s">
        <v>132</v>
      </c>
      <c r="F50" s="2" t="s">
        <v>109</v>
      </c>
      <c r="G50" s="10" t="n">
        <v>45488</v>
      </c>
    </row>
    <row r="51" customFormat="false" ht="15" hidden="false" customHeight="false" outlineLevel="0" collapsed="false">
      <c r="A51" s="2" t="s">
        <v>165</v>
      </c>
      <c r="B51" s="2" t="s">
        <v>104</v>
      </c>
      <c r="C51" s="2" t="n">
        <v>1949</v>
      </c>
      <c r="D51" s="2" t="n">
        <f aca="false">2025-C51</f>
        <v>76</v>
      </c>
      <c r="E51" s="2" t="s">
        <v>126</v>
      </c>
      <c r="F51" s="2" t="s">
        <v>113</v>
      </c>
      <c r="G51" s="10" t="n">
        <v>45606</v>
      </c>
    </row>
    <row r="52" customFormat="false" ht="15" hidden="false" customHeight="false" outlineLevel="0" collapsed="false">
      <c r="A52" s="2" t="s">
        <v>166</v>
      </c>
      <c r="B52" s="2" t="s">
        <v>111</v>
      </c>
      <c r="C52" s="2" t="n">
        <v>1959</v>
      </c>
      <c r="D52" s="2" t="n">
        <f aca="false">2025-C52</f>
        <v>66</v>
      </c>
      <c r="E52" s="2" t="s">
        <v>108</v>
      </c>
      <c r="F52" s="2" t="s">
        <v>122</v>
      </c>
      <c r="G52" s="10" t="n">
        <v>45366</v>
      </c>
    </row>
    <row r="53" customFormat="false" ht="15" hidden="false" customHeight="false" outlineLevel="0" collapsed="false">
      <c r="A53" s="2" t="s">
        <v>167</v>
      </c>
      <c r="B53" s="2" t="s">
        <v>111</v>
      </c>
      <c r="C53" s="2" t="n">
        <v>1952</v>
      </c>
      <c r="D53" s="2" t="n">
        <f aca="false">2025-C53</f>
        <v>73</v>
      </c>
      <c r="E53" s="2" t="s">
        <v>105</v>
      </c>
      <c r="F53" s="2" t="s">
        <v>113</v>
      </c>
      <c r="G53" s="10" t="n">
        <v>45623</v>
      </c>
    </row>
    <row r="54" customFormat="false" ht="15" hidden="false" customHeight="false" outlineLevel="0" collapsed="false">
      <c r="A54" s="2" t="s">
        <v>168</v>
      </c>
      <c r="B54" s="2" t="s">
        <v>111</v>
      </c>
      <c r="C54" s="2" t="n">
        <v>1960</v>
      </c>
      <c r="D54" s="2" t="n">
        <f aca="false">2025-C54</f>
        <v>65</v>
      </c>
      <c r="E54" s="2" t="s">
        <v>126</v>
      </c>
      <c r="F54" s="2" t="s">
        <v>117</v>
      </c>
      <c r="G54" s="10" t="n">
        <v>45480</v>
      </c>
    </row>
    <row r="55" customFormat="false" ht="15" hidden="false" customHeight="false" outlineLevel="0" collapsed="false">
      <c r="A55" s="2" t="s">
        <v>169</v>
      </c>
      <c r="B55" s="2" t="s">
        <v>104</v>
      </c>
      <c r="C55" s="2" t="n">
        <v>1980</v>
      </c>
      <c r="D55" s="2" t="n">
        <f aca="false">2025-C55</f>
        <v>45</v>
      </c>
      <c r="E55" s="2" t="s">
        <v>112</v>
      </c>
      <c r="F55" s="2" t="s">
        <v>122</v>
      </c>
      <c r="G55" s="10" t="n">
        <v>45550</v>
      </c>
    </row>
    <row r="56" customFormat="false" ht="15" hidden="false" customHeight="false" outlineLevel="0" collapsed="false">
      <c r="A56" s="2" t="s">
        <v>170</v>
      </c>
      <c r="B56" s="2" t="s">
        <v>104</v>
      </c>
      <c r="C56" s="2" t="n">
        <v>1942</v>
      </c>
      <c r="D56" s="2" t="n">
        <f aca="false">2025-C56</f>
        <v>83</v>
      </c>
      <c r="E56" s="2" t="s">
        <v>105</v>
      </c>
      <c r="F56" s="2" t="s">
        <v>117</v>
      </c>
      <c r="G56" s="10" t="n">
        <v>45538</v>
      </c>
    </row>
    <row r="57" customFormat="false" ht="15" hidden="false" customHeight="false" outlineLevel="0" collapsed="false">
      <c r="A57" s="2" t="s">
        <v>171</v>
      </c>
      <c r="B57" s="2" t="s">
        <v>111</v>
      </c>
      <c r="C57" s="2" t="n">
        <v>1969</v>
      </c>
      <c r="D57" s="2" t="n">
        <f aca="false">2025-C57</f>
        <v>56</v>
      </c>
      <c r="E57" s="2" t="s">
        <v>108</v>
      </c>
      <c r="F57" s="2" t="s">
        <v>106</v>
      </c>
      <c r="G57" s="10" t="n">
        <v>45414</v>
      </c>
    </row>
    <row r="58" customFormat="false" ht="15" hidden="false" customHeight="false" outlineLevel="0" collapsed="false">
      <c r="A58" s="2" t="s">
        <v>172</v>
      </c>
      <c r="B58" s="2" t="s">
        <v>111</v>
      </c>
      <c r="C58" s="2" t="n">
        <v>1974</v>
      </c>
      <c r="D58" s="2" t="n">
        <f aca="false">2025-C58</f>
        <v>51</v>
      </c>
      <c r="E58" s="2" t="s">
        <v>126</v>
      </c>
      <c r="F58" s="2" t="s">
        <v>113</v>
      </c>
      <c r="G58" s="10" t="n">
        <v>45835</v>
      </c>
    </row>
    <row r="59" customFormat="false" ht="15" hidden="false" customHeight="false" outlineLevel="0" collapsed="false">
      <c r="A59" s="2" t="s">
        <v>173</v>
      </c>
      <c r="B59" s="2" t="s">
        <v>104</v>
      </c>
      <c r="C59" s="2" t="n">
        <v>1991</v>
      </c>
      <c r="D59" s="2" t="n">
        <f aca="false">2025-C59</f>
        <v>34</v>
      </c>
      <c r="E59" s="2" t="s">
        <v>112</v>
      </c>
      <c r="F59" s="2" t="s">
        <v>117</v>
      </c>
      <c r="G59" s="10" t="n">
        <v>45637</v>
      </c>
    </row>
    <row r="60" customFormat="false" ht="15" hidden="false" customHeight="false" outlineLevel="0" collapsed="false">
      <c r="A60" s="2" t="s">
        <v>174</v>
      </c>
      <c r="B60" s="2" t="s">
        <v>111</v>
      </c>
      <c r="C60" s="2" t="n">
        <v>1975</v>
      </c>
      <c r="D60" s="2" t="n">
        <f aca="false">2025-C60</f>
        <v>50</v>
      </c>
      <c r="E60" s="2" t="s">
        <v>112</v>
      </c>
      <c r="F60" s="2" t="s">
        <v>109</v>
      </c>
      <c r="G60" s="10" t="n">
        <v>45331</v>
      </c>
    </row>
    <row r="61" customFormat="false" ht="15" hidden="false" customHeight="false" outlineLevel="0" collapsed="false">
      <c r="A61" s="2" t="s">
        <v>175</v>
      </c>
      <c r="B61" s="2" t="s">
        <v>111</v>
      </c>
      <c r="C61" s="2" t="n">
        <v>1951</v>
      </c>
      <c r="D61" s="2" t="n">
        <f aca="false">2025-C61</f>
        <v>74</v>
      </c>
      <c r="E61" s="2" t="s">
        <v>126</v>
      </c>
      <c r="F61" s="2" t="s">
        <v>106</v>
      </c>
      <c r="G61" s="10" t="n">
        <v>45385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</cols>
  <sheetData>
    <row r="1" customFormat="false" ht="26.85" hidden="false" customHeight="false" outlineLevel="0" collapsed="false">
      <c r="A1" s="8" t="s">
        <v>176</v>
      </c>
      <c r="B1" s="8" t="s">
        <v>96</v>
      </c>
      <c r="C1" s="8" t="s">
        <v>25</v>
      </c>
      <c r="D1" s="8" t="s">
        <v>177</v>
      </c>
      <c r="E1" s="8" t="s">
        <v>29</v>
      </c>
      <c r="F1" s="8" t="s">
        <v>178</v>
      </c>
      <c r="G1" s="8" t="s">
        <v>32</v>
      </c>
      <c r="H1" s="8" t="s">
        <v>179</v>
      </c>
    </row>
    <row r="2" customFormat="false" ht="15" hidden="false" customHeight="false" outlineLevel="0" collapsed="false">
      <c r="A2" s="11" t="n">
        <v>45658</v>
      </c>
      <c r="B2" s="2" t="s">
        <v>103</v>
      </c>
      <c r="C2" s="2" t="s">
        <v>34</v>
      </c>
      <c r="D2" s="2" t="str">
        <f aca="false">INDEX(Léky!$B$2:$B$11,MATCH(C2,Léky!$A$2:$A$11,0))</f>
        <v>Metformin 500 mg</v>
      </c>
      <c r="E2" s="2" t="str">
        <f aca="false">INDEX(Léky!$E$2:$E$11,MATCH(C2,Léky!$A$2:$A$11,0))</f>
        <v>Diabetes</v>
      </c>
      <c r="F2" s="2" t="n">
        <v>2</v>
      </c>
      <c r="G2" s="5" t="n">
        <f aca="false">INDEX(Léky!$H$2:$H$11,MATCH(C2,Léky!$A$2:$A$11,0))</f>
        <v>89</v>
      </c>
      <c r="H2" s="5" t="n">
        <f aca="false">F2*G2</f>
        <v>178</v>
      </c>
    </row>
    <row r="3" customFormat="false" ht="15" hidden="false" customHeight="false" outlineLevel="0" collapsed="false">
      <c r="A3" s="11" t="n">
        <v>45658</v>
      </c>
      <c r="B3" s="2" t="s">
        <v>110</v>
      </c>
      <c r="C3" s="2" t="s">
        <v>63</v>
      </c>
      <c r="D3" s="2" t="str">
        <f aca="false">INDEX(Léky!$B$2:$B$11,MATCH(C3,Léky!$A$2:$A$11,0))</f>
        <v>Omeprazol 20 mg</v>
      </c>
      <c r="E3" s="2" t="str">
        <f aca="false">INDEX(Léky!$E$2:$E$11,MATCH(C3,Léky!$A$2:$A$11,0))</f>
        <v>Trávení</v>
      </c>
      <c r="F3" s="2" t="n">
        <v>1</v>
      </c>
      <c r="G3" s="5" t="n">
        <f aca="false">INDEX(Léky!$H$2:$H$11,MATCH(C3,Léky!$A$2:$A$11,0))</f>
        <v>135</v>
      </c>
      <c r="H3" s="5" t="n">
        <f aca="false">F3*G3</f>
        <v>135</v>
      </c>
    </row>
    <row r="4" customFormat="false" ht="15" hidden="false" customHeight="false" outlineLevel="0" collapsed="false">
      <c r="A4" s="11" t="n">
        <v>45658</v>
      </c>
      <c r="B4" s="2" t="s">
        <v>110</v>
      </c>
      <c r="C4" s="2" t="s">
        <v>84</v>
      </c>
      <c r="D4" s="2" t="str">
        <f aca="false">INDEX(Léky!$B$2:$B$11,MATCH(C4,Léky!$A$2:$A$11,0))</f>
        <v>Amoxicilin 500 mg</v>
      </c>
      <c r="E4" s="2" t="str">
        <f aca="false">INDEX(Léky!$E$2:$E$11,MATCH(C4,Léky!$A$2:$A$11,0))</f>
        <v>Antibiotika</v>
      </c>
      <c r="F4" s="2" t="n">
        <v>1</v>
      </c>
      <c r="G4" s="5" t="n">
        <f aca="false">INDEX(Léky!$H$2:$H$11,MATCH(C4,Léky!$A$2:$A$11,0))</f>
        <v>120</v>
      </c>
      <c r="H4" s="5" t="n">
        <f aca="false">F4*G4</f>
        <v>120</v>
      </c>
    </row>
    <row r="5" customFormat="false" ht="15" hidden="false" customHeight="false" outlineLevel="0" collapsed="false">
      <c r="A5" s="11" t="n">
        <v>45658</v>
      </c>
      <c r="B5" s="2" t="s">
        <v>114</v>
      </c>
      <c r="C5" s="2" t="s">
        <v>53</v>
      </c>
      <c r="D5" s="2" t="str">
        <f aca="false">INDEX(Léky!$B$2:$B$11,MATCH(C5,Léky!$A$2:$A$11,0))</f>
        <v>Ramipril 5 mg</v>
      </c>
      <c r="E5" s="2" t="str">
        <f aca="false">INDEX(Léky!$E$2:$E$11,MATCH(C5,Léky!$A$2:$A$11,0))</f>
        <v>Krevní tlak</v>
      </c>
      <c r="F5" s="2" t="n">
        <v>1</v>
      </c>
      <c r="G5" s="5" t="n">
        <f aca="false">INDEX(Léky!$H$2:$H$11,MATCH(C5,Léky!$A$2:$A$11,0))</f>
        <v>98</v>
      </c>
      <c r="H5" s="5" t="n">
        <f aca="false">F5*G5</f>
        <v>98</v>
      </c>
    </row>
    <row r="6" customFormat="false" ht="15" hidden="false" customHeight="false" outlineLevel="0" collapsed="false">
      <c r="A6" s="11" t="n">
        <v>45658</v>
      </c>
      <c r="B6" s="2" t="s">
        <v>118</v>
      </c>
      <c r="C6" s="2" t="s">
        <v>48</v>
      </c>
      <c r="D6" s="2" t="str">
        <f aca="false">INDEX(Léky!$B$2:$B$11,MATCH(C6,Léky!$A$2:$A$11,0))</f>
        <v>Amlodipin 5 mg</v>
      </c>
      <c r="E6" s="2" t="str">
        <f aca="false">INDEX(Léky!$E$2:$E$11,MATCH(C6,Léky!$A$2:$A$11,0))</f>
        <v>Krevní tlak</v>
      </c>
      <c r="F6" s="2" t="n">
        <v>1</v>
      </c>
      <c r="G6" s="5" t="n">
        <f aca="false">INDEX(Léky!$H$2:$H$11,MATCH(C6,Léky!$A$2:$A$11,0))</f>
        <v>72</v>
      </c>
      <c r="H6" s="5" t="n">
        <f aca="false">F6*G6</f>
        <v>72</v>
      </c>
    </row>
    <row r="7" customFormat="false" ht="15" hidden="false" customHeight="false" outlineLevel="0" collapsed="false">
      <c r="A7" s="11" t="n">
        <v>45658</v>
      </c>
      <c r="B7" s="2" t="s">
        <v>119</v>
      </c>
      <c r="C7" s="2" t="s">
        <v>70</v>
      </c>
      <c r="D7" s="2" t="str">
        <f aca="false">INDEX(Léky!$B$2:$B$11,MATCH(C7,Léky!$A$2:$A$11,0))</f>
        <v>Sertralin 50 mg</v>
      </c>
      <c r="E7" s="2" t="str">
        <f aca="false">INDEX(Léky!$E$2:$E$11,MATCH(C7,Léky!$A$2:$A$11,0))</f>
        <v>Psychiatrie</v>
      </c>
      <c r="F7" s="2" t="n">
        <v>1</v>
      </c>
      <c r="G7" s="5" t="n">
        <f aca="false">INDEX(Léky!$H$2:$H$11,MATCH(C7,Léky!$A$2:$A$11,0))</f>
        <v>210</v>
      </c>
      <c r="H7" s="5" t="n">
        <f aca="false">F7*G7</f>
        <v>210</v>
      </c>
    </row>
    <row r="8" customFormat="false" ht="15" hidden="false" customHeight="false" outlineLevel="0" collapsed="false">
      <c r="A8" s="11" t="n">
        <v>45658</v>
      </c>
      <c r="B8" s="2" t="s">
        <v>119</v>
      </c>
      <c r="C8" s="2" t="s">
        <v>76</v>
      </c>
      <c r="D8" s="2" t="str">
        <f aca="false">INDEX(Léky!$B$2:$B$11,MATCH(C8,Léky!$A$2:$A$11,0))</f>
        <v>Salbutamol inhalátor</v>
      </c>
      <c r="E8" s="2" t="str">
        <f aca="false">INDEX(Léky!$E$2:$E$11,MATCH(C8,Léky!$A$2:$A$11,0))</f>
        <v>Dýchací cesty</v>
      </c>
      <c r="F8" s="2" t="n">
        <v>1</v>
      </c>
      <c r="G8" s="5" t="n">
        <f aca="false">INDEX(Léky!$H$2:$H$11,MATCH(C8,Léky!$A$2:$A$11,0))</f>
        <v>165</v>
      </c>
      <c r="H8" s="5" t="n">
        <f aca="false">F8*G8</f>
        <v>165</v>
      </c>
    </row>
    <row r="9" customFormat="false" ht="15" hidden="false" customHeight="false" outlineLevel="0" collapsed="false">
      <c r="A9" s="11" t="n">
        <v>45658</v>
      </c>
      <c r="B9" s="2" t="s">
        <v>120</v>
      </c>
      <c r="C9" s="2" t="s">
        <v>84</v>
      </c>
      <c r="D9" s="2" t="str">
        <f aca="false">INDEX(Léky!$B$2:$B$11,MATCH(C9,Léky!$A$2:$A$11,0))</f>
        <v>Amoxicilin 500 mg</v>
      </c>
      <c r="E9" s="2" t="str">
        <f aca="false">INDEX(Léky!$E$2:$E$11,MATCH(C9,Léky!$A$2:$A$11,0))</f>
        <v>Antibiotika</v>
      </c>
      <c r="F9" s="2" t="n">
        <v>1</v>
      </c>
      <c r="G9" s="5" t="n">
        <f aca="false">INDEX(Léky!$H$2:$H$11,MATCH(C9,Léky!$A$2:$A$11,0))</f>
        <v>120</v>
      </c>
      <c r="H9" s="5" t="n">
        <f aca="false">F9*G9</f>
        <v>120</v>
      </c>
    </row>
    <row r="10" customFormat="false" ht="15" hidden="false" customHeight="false" outlineLevel="0" collapsed="false">
      <c r="A10" s="11" t="n">
        <v>45658</v>
      </c>
      <c r="B10" s="2" t="s">
        <v>121</v>
      </c>
      <c r="C10" s="2" t="s">
        <v>84</v>
      </c>
      <c r="D10" s="2" t="str">
        <f aca="false">INDEX(Léky!$B$2:$B$11,MATCH(C10,Léky!$A$2:$A$11,0))</f>
        <v>Amoxicilin 500 mg</v>
      </c>
      <c r="E10" s="2" t="str">
        <f aca="false">INDEX(Léky!$E$2:$E$11,MATCH(C10,Léky!$A$2:$A$11,0))</f>
        <v>Antibiotika</v>
      </c>
      <c r="F10" s="2" t="n">
        <v>1</v>
      </c>
      <c r="G10" s="5" t="n">
        <f aca="false">INDEX(Léky!$H$2:$H$11,MATCH(C10,Léky!$A$2:$A$11,0))</f>
        <v>120</v>
      </c>
      <c r="H10" s="5" t="n">
        <f aca="false">F10*G10</f>
        <v>120</v>
      </c>
    </row>
    <row r="11" customFormat="false" ht="15" hidden="false" customHeight="false" outlineLevel="0" collapsed="false">
      <c r="A11" s="11" t="n">
        <v>45658</v>
      </c>
      <c r="B11" s="2" t="s">
        <v>124</v>
      </c>
      <c r="C11" s="2" t="s">
        <v>48</v>
      </c>
      <c r="D11" s="2" t="str">
        <f aca="false">INDEX(Léky!$B$2:$B$11,MATCH(C11,Léky!$A$2:$A$11,0))</f>
        <v>Amlodipin 5 mg</v>
      </c>
      <c r="E11" s="2" t="str">
        <f aca="false">INDEX(Léky!$E$2:$E$11,MATCH(C11,Léky!$A$2:$A$11,0))</f>
        <v>Krevní tlak</v>
      </c>
      <c r="F11" s="2" t="n">
        <v>1</v>
      </c>
      <c r="G11" s="5" t="n">
        <f aca="false">INDEX(Léky!$H$2:$H$11,MATCH(C11,Léky!$A$2:$A$11,0))</f>
        <v>72</v>
      </c>
      <c r="H11" s="5" t="n">
        <f aca="false">F11*G11</f>
        <v>72</v>
      </c>
    </row>
    <row r="12" customFormat="false" ht="15" hidden="false" customHeight="false" outlineLevel="0" collapsed="false">
      <c r="A12" s="11" t="n">
        <v>45658</v>
      </c>
      <c r="B12" s="2" t="s">
        <v>125</v>
      </c>
      <c r="C12" s="2" t="s">
        <v>70</v>
      </c>
      <c r="D12" s="2" t="str">
        <f aca="false">INDEX(Léky!$B$2:$B$11,MATCH(C12,Léky!$A$2:$A$11,0))</f>
        <v>Sertralin 50 mg</v>
      </c>
      <c r="E12" s="2" t="str">
        <f aca="false">INDEX(Léky!$E$2:$E$11,MATCH(C12,Léky!$A$2:$A$11,0))</f>
        <v>Psychiatrie</v>
      </c>
      <c r="F12" s="2" t="n">
        <v>1</v>
      </c>
      <c r="G12" s="5" t="n">
        <f aca="false">INDEX(Léky!$H$2:$H$11,MATCH(C12,Léky!$A$2:$A$11,0))</f>
        <v>210</v>
      </c>
      <c r="H12" s="5" t="n">
        <f aca="false">F12*G12</f>
        <v>210</v>
      </c>
    </row>
    <row r="13" customFormat="false" ht="15" hidden="false" customHeight="false" outlineLevel="0" collapsed="false">
      <c r="A13" s="11" t="n">
        <v>45658</v>
      </c>
      <c r="B13" s="2" t="s">
        <v>127</v>
      </c>
      <c r="C13" s="2" t="s">
        <v>70</v>
      </c>
      <c r="D13" s="2" t="str">
        <f aca="false">INDEX(Léky!$B$2:$B$11,MATCH(C13,Léky!$A$2:$A$11,0))</f>
        <v>Sertralin 50 mg</v>
      </c>
      <c r="E13" s="2" t="str">
        <f aca="false">INDEX(Léky!$E$2:$E$11,MATCH(C13,Léky!$A$2:$A$11,0))</f>
        <v>Psychiatrie</v>
      </c>
      <c r="F13" s="2" t="n">
        <v>1</v>
      </c>
      <c r="G13" s="5" t="n">
        <f aca="false">INDEX(Léky!$H$2:$H$11,MATCH(C13,Léky!$A$2:$A$11,0))</f>
        <v>210</v>
      </c>
      <c r="H13" s="5" t="n">
        <f aca="false">F13*G13</f>
        <v>210</v>
      </c>
    </row>
    <row r="14" customFormat="false" ht="15" hidden="false" customHeight="false" outlineLevel="0" collapsed="false">
      <c r="A14" s="11" t="n">
        <v>45658</v>
      </c>
      <c r="B14" s="2" t="s">
        <v>128</v>
      </c>
      <c r="C14" s="2" t="s">
        <v>53</v>
      </c>
      <c r="D14" s="2" t="str">
        <f aca="false">INDEX(Léky!$B$2:$B$11,MATCH(C14,Léky!$A$2:$A$11,0))</f>
        <v>Ramipril 5 mg</v>
      </c>
      <c r="E14" s="2" t="str">
        <f aca="false">INDEX(Léky!$E$2:$E$11,MATCH(C14,Léky!$A$2:$A$11,0))</f>
        <v>Krevní tlak</v>
      </c>
      <c r="F14" s="2" t="n">
        <v>1</v>
      </c>
      <c r="G14" s="5" t="n">
        <f aca="false">INDEX(Léky!$H$2:$H$11,MATCH(C14,Léky!$A$2:$A$11,0))</f>
        <v>98</v>
      </c>
      <c r="H14" s="5" t="n">
        <f aca="false">F14*G14</f>
        <v>98</v>
      </c>
    </row>
    <row r="15" customFormat="false" ht="15" hidden="false" customHeight="false" outlineLevel="0" collapsed="false">
      <c r="A15" s="11" t="n">
        <v>45658</v>
      </c>
      <c r="B15" s="2" t="s">
        <v>128</v>
      </c>
      <c r="C15" s="2" t="s">
        <v>84</v>
      </c>
      <c r="D15" s="2" t="str">
        <f aca="false">INDEX(Léky!$B$2:$B$11,MATCH(C15,Léky!$A$2:$A$11,0))</f>
        <v>Amoxicilin 500 mg</v>
      </c>
      <c r="E15" s="2" t="str">
        <f aca="false">INDEX(Léky!$E$2:$E$11,MATCH(C15,Léky!$A$2:$A$11,0))</f>
        <v>Antibiotika</v>
      </c>
      <c r="F15" s="2" t="n">
        <v>1</v>
      </c>
      <c r="G15" s="5" t="n">
        <f aca="false">INDEX(Léky!$H$2:$H$11,MATCH(C15,Léky!$A$2:$A$11,0))</f>
        <v>120</v>
      </c>
      <c r="H15" s="5" t="n">
        <f aca="false">F15*G15</f>
        <v>120</v>
      </c>
    </row>
    <row r="16" customFormat="false" ht="15" hidden="false" customHeight="false" outlineLevel="0" collapsed="false">
      <c r="A16" s="11" t="n">
        <v>45658</v>
      </c>
      <c r="B16" s="2" t="s">
        <v>129</v>
      </c>
      <c r="C16" s="2" t="s">
        <v>70</v>
      </c>
      <c r="D16" s="2" t="str">
        <f aca="false">INDEX(Léky!$B$2:$B$11,MATCH(C16,Léky!$A$2:$A$11,0))</f>
        <v>Sertralin 50 mg</v>
      </c>
      <c r="E16" s="2" t="str">
        <f aca="false">INDEX(Léky!$E$2:$E$11,MATCH(C16,Léky!$A$2:$A$11,0))</f>
        <v>Psychiatrie</v>
      </c>
      <c r="F16" s="2" t="n">
        <v>1</v>
      </c>
      <c r="G16" s="5" t="n">
        <f aca="false">INDEX(Léky!$H$2:$H$11,MATCH(C16,Léky!$A$2:$A$11,0))</f>
        <v>210</v>
      </c>
      <c r="H16" s="5" t="n">
        <f aca="false">F16*G16</f>
        <v>210</v>
      </c>
    </row>
    <row r="17" customFormat="false" ht="15" hidden="false" customHeight="false" outlineLevel="0" collapsed="false">
      <c r="A17" s="11" t="n">
        <v>45658</v>
      </c>
      <c r="B17" s="2" t="s">
        <v>130</v>
      </c>
      <c r="C17" s="2" t="s">
        <v>57</v>
      </c>
      <c r="D17" s="2" t="str">
        <f aca="false">INDEX(Léky!$B$2:$B$11,MATCH(C17,Léky!$A$2:$A$11,0))</f>
        <v>Levothyroxin 50 µg</v>
      </c>
      <c r="E17" s="2" t="str">
        <f aca="false">INDEX(Léky!$E$2:$E$11,MATCH(C17,Léky!$A$2:$A$11,0))</f>
        <v>Štítná žláza</v>
      </c>
      <c r="F17" s="2" t="n">
        <v>1</v>
      </c>
      <c r="G17" s="5" t="n">
        <f aca="false">INDEX(Léky!$H$2:$H$11,MATCH(C17,Léky!$A$2:$A$11,0))</f>
        <v>118</v>
      </c>
      <c r="H17" s="5" t="n">
        <f aca="false">F17*G17</f>
        <v>118</v>
      </c>
    </row>
    <row r="18" customFormat="false" ht="15" hidden="false" customHeight="false" outlineLevel="0" collapsed="false">
      <c r="A18" s="11" t="n">
        <v>45658</v>
      </c>
      <c r="B18" s="2" t="s">
        <v>131</v>
      </c>
      <c r="C18" s="2" t="s">
        <v>34</v>
      </c>
      <c r="D18" s="2" t="str">
        <f aca="false">INDEX(Léky!$B$2:$B$11,MATCH(C18,Léky!$A$2:$A$11,0))</f>
        <v>Metformin 500 mg</v>
      </c>
      <c r="E18" s="2" t="str">
        <f aca="false">INDEX(Léky!$E$2:$E$11,MATCH(C18,Léky!$A$2:$A$11,0))</f>
        <v>Diabetes</v>
      </c>
      <c r="F18" s="2" t="n">
        <v>1</v>
      </c>
      <c r="G18" s="5" t="n">
        <f aca="false">INDEX(Léky!$H$2:$H$11,MATCH(C18,Léky!$A$2:$A$11,0))</f>
        <v>89</v>
      </c>
      <c r="H18" s="5" t="n">
        <f aca="false">F18*G18</f>
        <v>89</v>
      </c>
    </row>
    <row r="19" customFormat="false" ht="15" hidden="false" customHeight="false" outlineLevel="0" collapsed="false">
      <c r="A19" s="11" t="n">
        <v>45658</v>
      </c>
      <c r="B19" s="2" t="s">
        <v>131</v>
      </c>
      <c r="C19" s="2" t="s">
        <v>53</v>
      </c>
      <c r="D19" s="2" t="str">
        <f aca="false">INDEX(Léky!$B$2:$B$11,MATCH(C19,Léky!$A$2:$A$11,0))</f>
        <v>Ramipril 5 mg</v>
      </c>
      <c r="E19" s="2" t="str">
        <f aca="false">INDEX(Léky!$E$2:$E$11,MATCH(C19,Léky!$A$2:$A$11,0))</f>
        <v>Krevní tlak</v>
      </c>
      <c r="F19" s="2" t="n">
        <v>1</v>
      </c>
      <c r="G19" s="5" t="n">
        <f aca="false">INDEX(Léky!$H$2:$H$11,MATCH(C19,Léky!$A$2:$A$11,0))</f>
        <v>98</v>
      </c>
      <c r="H19" s="5" t="n">
        <f aca="false">F19*G19</f>
        <v>98</v>
      </c>
    </row>
    <row r="20" customFormat="false" ht="15" hidden="false" customHeight="false" outlineLevel="0" collapsed="false">
      <c r="A20" s="11" t="n">
        <v>45658</v>
      </c>
      <c r="B20" s="2" t="s">
        <v>131</v>
      </c>
      <c r="C20" s="2" t="s">
        <v>63</v>
      </c>
      <c r="D20" s="2" t="str">
        <f aca="false">INDEX(Léky!$B$2:$B$11,MATCH(C20,Léky!$A$2:$A$11,0))</f>
        <v>Omeprazol 20 mg</v>
      </c>
      <c r="E20" s="2" t="str">
        <f aca="false">INDEX(Léky!$E$2:$E$11,MATCH(C20,Léky!$A$2:$A$11,0))</f>
        <v>Trávení</v>
      </c>
      <c r="F20" s="2" t="n">
        <v>1</v>
      </c>
      <c r="G20" s="5" t="n">
        <f aca="false">INDEX(Léky!$H$2:$H$11,MATCH(C20,Léky!$A$2:$A$11,0))</f>
        <v>135</v>
      </c>
      <c r="H20" s="5" t="n">
        <f aca="false">F20*G20</f>
        <v>135</v>
      </c>
    </row>
    <row r="21" customFormat="false" ht="15" hidden="false" customHeight="false" outlineLevel="0" collapsed="false">
      <c r="A21" s="11" t="n">
        <v>45658</v>
      </c>
      <c r="B21" s="2" t="s">
        <v>133</v>
      </c>
      <c r="C21" s="2" t="s">
        <v>48</v>
      </c>
      <c r="D21" s="2" t="str">
        <f aca="false">INDEX(Léky!$B$2:$B$11,MATCH(C21,Léky!$A$2:$A$11,0))</f>
        <v>Amlodipin 5 mg</v>
      </c>
      <c r="E21" s="2" t="str">
        <f aca="false">INDEX(Léky!$E$2:$E$11,MATCH(C21,Léky!$A$2:$A$11,0))</f>
        <v>Krevní tlak</v>
      </c>
      <c r="F21" s="2" t="n">
        <v>1</v>
      </c>
      <c r="G21" s="5" t="n">
        <f aca="false">INDEX(Léky!$H$2:$H$11,MATCH(C21,Léky!$A$2:$A$11,0))</f>
        <v>72</v>
      </c>
      <c r="H21" s="5" t="n">
        <f aca="false">F21*G21</f>
        <v>72</v>
      </c>
    </row>
    <row r="22" customFormat="false" ht="15" hidden="false" customHeight="false" outlineLevel="0" collapsed="false">
      <c r="A22" s="11" t="n">
        <v>45658</v>
      </c>
      <c r="B22" s="2" t="s">
        <v>133</v>
      </c>
      <c r="C22" s="2" t="s">
        <v>70</v>
      </c>
      <c r="D22" s="2" t="str">
        <f aca="false">INDEX(Léky!$B$2:$B$11,MATCH(C22,Léky!$A$2:$A$11,0))</f>
        <v>Sertralin 50 mg</v>
      </c>
      <c r="E22" s="2" t="str">
        <f aca="false">INDEX(Léky!$E$2:$E$11,MATCH(C22,Léky!$A$2:$A$11,0))</f>
        <v>Psychiatrie</v>
      </c>
      <c r="F22" s="2" t="n">
        <v>1</v>
      </c>
      <c r="G22" s="5" t="n">
        <f aca="false">INDEX(Léky!$H$2:$H$11,MATCH(C22,Léky!$A$2:$A$11,0))</f>
        <v>210</v>
      </c>
      <c r="H22" s="5" t="n">
        <f aca="false">F22*G22</f>
        <v>210</v>
      </c>
    </row>
    <row r="23" customFormat="false" ht="15" hidden="false" customHeight="false" outlineLevel="0" collapsed="false">
      <c r="A23" s="11" t="n">
        <v>45658</v>
      </c>
      <c r="B23" s="2" t="s">
        <v>133</v>
      </c>
      <c r="C23" s="2" t="s">
        <v>76</v>
      </c>
      <c r="D23" s="2" t="str">
        <f aca="false">INDEX(Léky!$B$2:$B$11,MATCH(C23,Léky!$A$2:$A$11,0))</f>
        <v>Salbutamol inhalátor</v>
      </c>
      <c r="E23" s="2" t="str">
        <f aca="false">INDEX(Léky!$E$2:$E$11,MATCH(C23,Léky!$A$2:$A$11,0))</f>
        <v>Dýchací cesty</v>
      </c>
      <c r="F23" s="2" t="n">
        <v>1</v>
      </c>
      <c r="G23" s="5" t="n">
        <f aca="false">INDEX(Léky!$H$2:$H$11,MATCH(C23,Léky!$A$2:$A$11,0))</f>
        <v>165</v>
      </c>
      <c r="H23" s="5" t="n">
        <f aca="false">F23*G23</f>
        <v>165</v>
      </c>
    </row>
    <row r="24" customFormat="false" ht="15" hidden="false" customHeight="false" outlineLevel="0" collapsed="false">
      <c r="A24" s="11" t="n">
        <v>45658</v>
      </c>
      <c r="B24" s="2" t="s">
        <v>134</v>
      </c>
      <c r="C24" s="2" t="s">
        <v>53</v>
      </c>
      <c r="D24" s="2" t="str">
        <f aca="false">INDEX(Léky!$B$2:$B$11,MATCH(C24,Léky!$A$2:$A$11,0))</f>
        <v>Ramipril 5 mg</v>
      </c>
      <c r="E24" s="2" t="str">
        <f aca="false">INDEX(Léky!$E$2:$E$11,MATCH(C24,Léky!$A$2:$A$11,0))</f>
        <v>Krevní tlak</v>
      </c>
      <c r="F24" s="2" t="n">
        <v>1</v>
      </c>
      <c r="G24" s="5" t="n">
        <f aca="false">INDEX(Léky!$H$2:$H$11,MATCH(C24,Léky!$A$2:$A$11,0))</f>
        <v>98</v>
      </c>
      <c r="H24" s="5" t="n">
        <f aca="false">F24*G24</f>
        <v>98</v>
      </c>
    </row>
    <row r="25" customFormat="false" ht="15" hidden="false" customHeight="false" outlineLevel="0" collapsed="false">
      <c r="A25" s="11" t="n">
        <v>45658</v>
      </c>
      <c r="B25" s="2" t="s">
        <v>136</v>
      </c>
      <c r="C25" s="2" t="s">
        <v>34</v>
      </c>
      <c r="D25" s="2" t="str">
        <f aca="false">INDEX(Léky!$B$2:$B$11,MATCH(C25,Léky!$A$2:$A$11,0))</f>
        <v>Metformin 500 mg</v>
      </c>
      <c r="E25" s="2" t="str">
        <f aca="false">INDEX(Léky!$E$2:$E$11,MATCH(C25,Léky!$A$2:$A$11,0))</f>
        <v>Diabetes</v>
      </c>
      <c r="F25" s="2" t="n">
        <v>2</v>
      </c>
      <c r="G25" s="5" t="n">
        <f aca="false">INDEX(Léky!$H$2:$H$11,MATCH(C25,Léky!$A$2:$A$11,0))</f>
        <v>89</v>
      </c>
      <c r="H25" s="5" t="n">
        <f aca="false">F25*G25</f>
        <v>178</v>
      </c>
    </row>
    <row r="26" customFormat="false" ht="15" hidden="false" customHeight="false" outlineLevel="0" collapsed="false">
      <c r="A26" s="11" t="n">
        <v>45658</v>
      </c>
      <c r="B26" s="2" t="s">
        <v>137</v>
      </c>
      <c r="C26" s="2" t="s">
        <v>70</v>
      </c>
      <c r="D26" s="2" t="str">
        <f aca="false">INDEX(Léky!$B$2:$B$11,MATCH(C26,Léky!$A$2:$A$11,0))</f>
        <v>Sertralin 50 mg</v>
      </c>
      <c r="E26" s="2" t="str">
        <f aca="false">INDEX(Léky!$E$2:$E$11,MATCH(C26,Léky!$A$2:$A$11,0))</f>
        <v>Psychiatrie</v>
      </c>
      <c r="F26" s="2" t="n">
        <v>1</v>
      </c>
      <c r="G26" s="5" t="n">
        <f aca="false">INDEX(Léky!$H$2:$H$11,MATCH(C26,Léky!$A$2:$A$11,0))</f>
        <v>210</v>
      </c>
      <c r="H26" s="5" t="n">
        <f aca="false">F26*G26</f>
        <v>210</v>
      </c>
    </row>
    <row r="27" customFormat="false" ht="15" hidden="false" customHeight="false" outlineLevel="0" collapsed="false">
      <c r="A27" s="11" t="n">
        <v>45658</v>
      </c>
      <c r="B27" s="2" t="s">
        <v>138</v>
      </c>
      <c r="C27" s="2" t="s">
        <v>48</v>
      </c>
      <c r="D27" s="2" t="str">
        <f aca="false">INDEX(Léky!$B$2:$B$11,MATCH(C27,Léky!$A$2:$A$11,0))</f>
        <v>Amlodipin 5 mg</v>
      </c>
      <c r="E27" s="2" t="str">
        <f aca="false">INDEX(Léky!$E$2:$E$11,MATCH(C27,Léky!$A$2:$A$11,0))</f>
        <v>Krevní tlak</v>
      </c>
      <c r="F27" s="2" t="n">
        <v>1</v>
      </c>
      <c r="G27" s="5" t="n">
        <f aca="false">INDEX(Léky!$H$2:$H$11,MATCH(C27,Léky!$A$2:$A$11,0))</f>
        <v>72</v>
      </c>
      <c r="H27" s="5" t="n">
        <f aca="false">F27*G27</f>
        <v>72</v>
      </c>
    </row>
    <row r="28" customFormat="false" ht="15" hidden="false" customHeight="false" outlineLevel="0" collapsed="false">
      <c r="A28" s="11" t="n">
        <v>45658</v>
      </c>
      <c r="B28" s="2" t="s">
        <v>138</v>
      </c>
      <c r="C28" s="2" t="s">
        <v>57</v>
      </c>
      <c r="D28" s="2" t="str">
        <f aca="false">INDEX(Léky!$B$2:$B$11,MATCH(C28,Léky!$A$2:$A$11,0))</f>
        <v>Levothyroxin 50 µg</v>
      </c>
      <c r="E28" s="2" t="str">
        <f aca="false">INDEX(Léky!$E$2:$E$11,MATCH(C28,Léky!$A$2:$A$11,0))</f>
        <v>Štítná žláza</v>
      </c>
      <c r="F28" s="2" t="n">
        <v>1</v>
      </c>
      <c r="G28" s="5" t="n">
        <f aca="false">INDEX(Léky!$H$2:$H$11,MATCH(C28,Léky!$A$2:$A$11,0))</f>
        <v>118</v>
      </c>
      <c r="H28" s="5" t="n">
        <f aca="false">F28*G28</f>
        <v>118</v>
      </c>
    </row>
    <row r="29" customFormat="false" ht="15" hidden="false" customHeight="false" outlineLevel="0" collapsed="false">
      <c r="A29" s="11" t="n">
        <v>45658</v>
      </c>
      <c r="B29" s="2" t="s">
        <v>138</v>
      </c>
      <c r="C29" s="2" t="s">
        <v>63</v>
      </c>
      <c r="D29" s="2" t="str">
        <f aca="false">INDEX(Léky!$B$2:$B$11,MATCH(C29,Léky!$A$2:$A$11,0))</f>
        <v>Omeprazol 20 mg</v>
      </c>
      <c r="E29" s="2" t="str">
        <f aca="false">INDEX(Léky!$E$2:$E$11,MATCH(C29,Léky!$A$2:$A$11,0))</f>
        <v>Trávení</v>
      </c>
      <c r="F29" s="2" t="n">
        <v>1</v>
      </c>
      <c r="G29" s="5" t="n">
        <f aca="false">INDEX(Léky!$H$2:$H$11,MATCH(C29,Léky!$A$2:$A$11,0))</f>
        <v>135</v>
      </c>
      <c r="H29" s="5" t="n">
        <f aca="false">F29*G29</f>
        <v>135</v>
      </c>
    </row>
    <row r="30" customFormat="false" ht="15" hidden="false" customHeight="false" outlineLevel="0" collapsed="false">
      <c r="A30" s="11" t="n">
        <v>45658</v>
      </c>
      <c r="B30" s="2" t="s">
        <v>140</v>
      </c>
      <c r="C30" s="2" t="s">
        <v>42</v>
      </c>
      <c r="D30" s="2" t="str">
        <f aca="false">INDEX(Léky!$B$2:$B$11,MATCH(C30,Léky!$A$2:$A$11,0))</f>
        <v>Atorvastatin 20 mg</v>
      </c>
      <c r="E30" s="2" t="str">
        <f aca="false">INDEX(Léky!$E$2:$E$11,MATCH(C30,Léky!$A$2:$A$11,0))</f>
        <v>Cholesterol</v>
      </c>
      <c r="F30" s="2" t="n">
        <v>1</v>
      </c>
      <c r="G30" s="5" t="n">
        <f aca="false">INDEX(Léky!$H$2:$H$11,MATCH(C30,Léky!$A$2:$A$11,0))</f>
        <v>145</v>
      </c>
      <c r="H30" s="5" t="n">
        <f aca="false">F30*G30</f>
        <v>145</v>
      </c>
    </row>
    <row r="31" customFormat="false" ht="15" hidden="false" customHeight="false" outlineLevel="0" collapsed="false">
      <c r="A31" s="11" t="n">
        <v>45658</v>
      </c>
      <c r="B31" s="2" t="s">
        <v>140</v>
      </c>
      <c r="C31" s="2" t="s">
        <v>48</v>
      </c>
      <c r="D31" s="2" t="str">
        <f aca="false">INDEX(Léky!$B$2:$B$11,MATCH(C31,Léky!$A$2:$A$11,0))</f>
        <v>Amlodipin 5 mg</v>
      </c>
      <c r="E31" s="2" t="str">
        <f aca="false">INDEX(Léky!$E$2:$E$11,MATCH(C31,Léky!$A$2:$A$11,0))</f>
        <v>Krevní tlak</v>
      </c>
      <c r="F31" s="2" t="n">
        <v>1</v>
      </c>
      <c r="G31" s="5" t="n">
        <f aca="false">INDEX(Léky!$H$2:$H$11,MATCH(C31,Léky!$A$2:$A$11,0))</f>
        <v>72</v>
      </c>
      <c r="H31" s="5" t="n">
        <f aca="false">F31*G31</f>
        <v>72</v>
      </c>
    </row>
    <row r="32" customFormat="false" ht="15" hidden="false" customHeight="false" outlineLevel="0" collapsed="false">
      <c r="A32" s="11" t="n">
        <v>45658</v>
      </c>
      <c r="B32" s="2" t="s">
        <v>140</v>
      </c>
      <c r="C32" s="2" t="s">
        <v>57</v>
      </c>
      <c r="D32" s="2" t="str">
        <f aca="false">INDEX(Léky!$B$2:$B$11,MATCH(C32,Léky!$A$2:$A$11,0))</f>
        <v>Levothyroxin 50 µg</v>
      </c>
      <c r="E32" s="2" t="str">
        <f aca="false">INDEX(Léky!$E$2:$E$11,MATCH(C32,Léky!$A$2:$A$11,0))</f>
        <v>Štítná žláza</v>
      </c>
      <c r="F32" s="2" t="n">
        <v>1</v>
      </c>
      <c r="G32" s="5" t="n">
        <f aca="false">INDEX(Léky!$H$2:$H$11,MATCH(C32,Léky!$A$2:$A$11,0))</f>
        <v>118</v>
      </c>
      <c r="H32" s="5" t="n">
        <f aca="false">F32*G32</f>
        <v>118</v>
      </c>
    </row>
    <row r="33" customFormat="false" ht="15" hidden="false" customHeight="false" outlineLevel="0" collapsed="false">
      <c r="A33" s="11" t="n">
        <v>45658</v>
      </c>
      <c r="B33" s="2" t="s">
        <v>140</v>
      </c>
      <c r="C33" s="2" t="s">
        <v>84</v>
      </c>
      <c r="D33" s="2" t="str">
        <f aca="false">INDEX(Léky!$B$2:$B$11,MATCH(C33,Léky!$A$2:$A$11,0))</f>
        <v>Amoxicilin 500 mg</v>
      </c>
      <c r="E33" s="2" t="str">
        <f aca="false">INDEX(Léky!$E$2:$E$11,MATCH(C33,Léky!$A$2:$A$11,0))</f>
        <v>Antibiotika</v>
      </c>
      <c r="F33" s="2" t="n">
        <v>1</v>
      </c>
      <c r="G33" s="5" t="n">
        <f aca="false">INDEX(Léky!$H$2:$H$11,MATCH(C33,Léky!$A$2:$A$11,0))</f>
        <v>120</v>
      </c>
      <c r="H33" s="5" t="n">
        <f aca="false">F33*G33</f>
        <v>120</v>
      </c>
    </row>
    <row r="34" customFormat="false" ht="15" hidden="false" customHeight="false" outlineLevel="0" collapsed="false">
      <c r="A34" s="11" t="n">
        <v>45658</v>
      </c>
      <c r="B34" s="2" t="s">
        <v>140</v>
      </c>
      <c r="C34" s="2" t="s">
        <v>91</v>
      </c>
      <c r="D34" s="2" t="str">
        <f aca="false">INDEX(Léky!$B$2:$B$11,MATCH(C34,Léky!$A$2:$A$11,0))</f>
        <v>Ibuprofen 400 mg</v>
      </c>
      <c r="E34" s="2" t="str">
        <f aca="false">INDEX(Léky!$E$2:$E$11,MATCH(C34,Léky!$A$2:$A$11,0))</f>
        <v>Bolest</v>
      </c>
      <c r="F34" s="2" t="n">
        <v>2</v>
      </c>
      <c r="G34" s="5" t="n">
        <f aca="false">INDEX(Léky!$H$2:$H$11,MATCH(C34,Léky!$A$2:$A$11,0))</f>
        <v>65</v>
      </c>
      <c r="H34" s="5" t="n">
        <f aca="false">F34*G34</f>
        <v>130</v>
      </c>
    </row>
    <row r="35" customFormat="false" ht="15" hidden="false" customHeight="false" outlineLevel="0" collapsed="false">
      <c r="A35" s="11" t="n">
        <v>45658</v>
      </c>
      <c r="B35" s="2" t="s">
        <v>142</v>
      </c>
      <c r="C35" s="2" t="s">
        <v>48</v>
      </c>
      <c r="D35" s="2" t="str">
        <f aca="false">INDEX(Léky!$B$2:$B$11,MATCH(C35,Léky!$A$2:$A$11,0))</f>
        <v>Amlodipin 5 mg</v>
      </c>
      <c r="E35" s="2" t="str">
        <f aca="false">INDEX(Léky!$E$2:$E$11,MATCH(C35,Léky!$A$2:$A$11,0))</f>
        <v>Krevní tlak</v>
      </c>
      <c r="F35" s="2" t="n">
        <v>1</v>
      </c>
      <c r="G35" s="5" t="n">
        <f aca="false">INDEX(Léky!$H$2:$H$11,MATCH(C35,Léky!$A$2:$A$11,0))</f>
        <v>72</v>
      </c>
      <c r="H35" s="5" t="n">
        <f aca="false">F35*G35</f>
        <v>72</v>
      </c>
    </row>
    <row r="36" customFormat="false" ht="15" hidden="false" customHeight="false" outlineLevel="0" collapsed="false">
      <c r="A36" s="11" t="n">
        <v>45658</v>
      </c>
      <c r="B36" s="2" t="s">
        <v>142</v>
      </c>
      <c r="C36" s="2" t="s">
        <v>84</v>
      </c>
      <c r="D36" s="2" t="str">
        <f aca="false">INDEX(Léky!$B$2:$B$11,MATCH(C36,Léky!$A$2:$A$11,0))</f>
        <v>Amoxicilin 500 mg</v>
      </c>
      <c r="E36" s="2" t="str">
        <f aca="false">INDEX(Léky!$E$2:$E$11,MATCH(C36,Léky!$A$2:$A$11,0))</f>
        <v>Antibiotika</v>
      </c>
      <c r="F36" s="2" t="n">
        <v>1</v>
      </c>
      <c r="G36" s="5" t="n">
        <f aca="false">INDEX(Léky!$H$2:$H$11,MATCH(C36,Léky!$A$2:$A$11,0))</f>
        <v>120</v>
      </c>
      <c r="H36" s="5" t="n">
        <f aca="false">F36*G36</f>
        <v>120</v>
      </c>
    </row>
    <row r="37" customFormat="false" ht="15" hidden="false" customHeight="false" outlineLevel="0" collapsed="false">
      <c r="A37" s="11" t="n">
        <v>45658</v>
      </c>
      <c r="B37" s="2" t="s">
        <v>143</v>
      </c>
      <c r="C37" s="2" t="s">
        <v>84</v>
      </c>
      <c r="D37" s="2" t="str">
        <f aca="false">INDEX(Léky!$B$2:$B$11,MATCH(C37,Léky!$A$2:$A$11,0))</f>
        <v>Amoxicilin 500 mg</v>
      </c>
      <c r="E37" s="2" t="str">
        <f aca="false">INDEX(Léky!$E$2:$E$11,MATCH(C37,Léky!$A$2:$A$11,0))</f>
        <v>Antibiotika</v>
      </c>
      <c r="F37" s="2" t="n">
        <v>1</v>
      </c>
      <c r="G37" s="5" t="n">
        <f aca="false">INDEX(Léky!$H$2:$H$11,MATCH(C37,Léky!$A$2:$A$11,0))</f>
        <v>120</v>
      </c>
      <c r="H37" s="5" t="n">
        <f aca="false">F37*G37</f>
        <v>120</v>
      </c>
    </row>
    <row r="38" customFormat="false" ht="15" hidden="false" customHeight="false" outlineLevel="0" collapsed="false">
      <c r="A38" s="11" t="n">
        <v>45658</v>
      </c>
      <c r="B38" s="2" t="s">
        <v>144</v>
      </c>
      <c r="C38" s="2" t="s">
        <v>63</v>
      </c>
      <c r="D38" s="2" t="str">
        <f aca="false">INDEX(Léky!$B$2:$B$11,MATCH(C38,Léky!$A$2:$A$11,0))</f>
        <v>Omeprazol 20 mg</v>
      </c>
      <c r="E38" s="2" t="str">
        <f aca="false">INDEX(Léky!$E$2:$E$11,MATCH(C38,Léky!$A$2:$A$11,0))</f>
        <v>Trávení</v>
      </c>
      <c r="F38" s="2" t="n">
        <v>1</v>
      </c>
      <c r="G38" s="5" t="n">
        <f aca="false">INDEX(Léky!$H$2:$H$11,MATCH(C38,Léky!$A$2:$A$11,0))</f>
        <v>135</v>
      </c>
      <c r="H38" s="5" t="n">
        <f aca="false">F38*G38</f>
        <v>135</v>
      </c>
    </row>
    <row r="39" customFormat="false" ht="15" hidden="false" customHeight="false" outlineLevel="0" collapsed="false">
      <c r="A39" s="11" t="n">
        <v>45658</v>
      </c>
      <c r="B39" s="2" t="s">
        <v>151</v>
      </c>
      <c r="C39" s="2" t="s">
        <v>63</v>
      </c>
      <c r="D39" s="2" t="str">
        <f aca="false">INDEX(Léky!$B$2:$B$11,MATCH(C39,Léky!$A$2:$A$11,0))</f>
        <v>Omeprazol 20 mg</v>
      </c>
      <c r="E39" s="2" t="str">
        <f aca="false">INDEX(Léky!$E$2:$E$11,MATCH(C39,Léky!$A$2:$A$11,0))</f>
        <v>Trávení</v>
      </c>
      <c r="F39" s="2" t="n">
        <v>1</v>
      </c>
      <c r="G39" s="5" t="n">
        <f aca="false">INDEX(Léky!$H$2:$H$11,MATCH(C39,Léky!$A$2:$A$11,0))</f>
        <v>135</v>
      </c>
      <c r="H39" s="5" t="n">
        <f aca="false">F39*G39</f>
        <v>135</v>
      </c>
    </row>
    <row r="40" customFormat="false" ht="15" hidden="false" customHeight="false" outlineLevel="0" collapsed="false">
      <c r="A40" s="11" t="n">
        <v>45658</v>
      </c>
      <c r="B40" s="2" t="s">
        <v>151</v>
      </c>
      <c r="C40" s="2" t="s">
        <v>91</v>
      </c>
      <c r="D40" s="2" t="str">
        <f aca="false">INDEX(Léky!$B$2:$B$11,MATCH(C40,Léky!$A$2:$A$11,0))</f>
        <v>Ibuprofen 400 mg</v>
      </c>
      <c r="E40" s="2" t="str">
        <f aca="false">INDEX(Léky!$E$2:$E$11,MATCH(C40,Léky!$A$2:$A$11,0))</f>
        <v>Bolest</v>
      </c>
      <c r="F40" s="2" t="n">
        <v>2</v>
      </c>
      <c r="G40" s="5" t="n">
        <f aca="false">INDEX(Léky!$H$2:$H$11,MATCH(C40,Léky!$A$2:$A$11,0))</f>
        <v>65</v>
      </c>
      <c r="H40" s="5" t="n">
        <f aca="false">F40*G40</f>
        <v>130</v>
      </c>
    </row>
    <row r="41" customFormat="false" ht="15" hidden="false" customHeight="false" outlineLevel="0" collapsed="false">
      <c r="A41" s="11" t="n">
        <v>45658</v>
      </c>
      <c r="B41" s="2" t="s">
        <v>152</v>
      </c>
      <c r="C41" s="2" t="s">
        <v>53</v>
      </c>
      <c r="D41" s="2" t="str">
        <f aca="false">INDEX(Léky!$B$2:$B$11,MATCH(C41,Léky!$A$2:$A$11,0))</f>
        <v>Ramipril 5 mg</v>
      </c>
      <c r="E41" s="2" t="str">
        <f aca="false">INDEX(Léky!$E$2:$E$11,MATCH(C41,Léky!$A$2:$A$11,0))</f>
        <v>Krevní tlak</v>
      </c>
      <c r="F41" s="2" t="n">
        <v>1</v>
      </c>
      <c r="G41" s="5" t="n">
        <f aca="false">INDEX(Léky!$H$2:$H$11,MATCH(C41,Léky!$A$2:$A$11,0))</f>
        <v>98</v>
      </c>
      <c r="H41" s="5" t="n">
        <f aca="false">F41*G41</f>
        <v>98</v>
      </c>
    </row>
    <row r="42" customFormat="false" ht="15" hidden="false" customHeight="false" outlineLevel="0" collapsed="false">
      <c r="A42" s="11" t="n">
        <v>45658</v>
      </c>
      <c r="B42" s="2" t="s">
        <v>154</v>
      </c>
      <c r="C42" s="2" t="s">
        <v>48</v>
      </c>
      <c r="D42" s="2" t="str">
        <f aca="false">INDEX(Léky!$B$2:$B$11,MATCH(C42,Léky!$A$2:$A$11,0))</f>
        <v>Amlodipin 5 mg</v>
      </c>
      <c r="E42" s="2" t="str">
        <f aca="false">INDEX(Léky!$E$2:$E$11,MATCH(C42,Léky!$A$2:$A$11,0))</f>
        <v>Krevní tlak</v>
      </c>
      <c r="F42" s="2" t="n">
        <v>1</v>
      </c>
      <c r="G42" s="5" t="n">
        <f aca="false">INDEX(Léky!$H$2:$H$11,MATCH(C42,Léky!$A$2:$A$11,0))</f>
        <v>72</v>
      </c>
      <c r="H42" s="5" t="n">
        <f aca="false">F42*G42</f>
        <v>72</v>
      </c>
    </row>
    <row r="43" customFormat="false" ht="15" hidden="false" customHeight="false" outlineLevel="0" collapsed="false">
      <c r="A43" s="11" t="n">
        <v>45658</v>
      </c>
      <c r="B43" s="2" t="s">
        <v>154</v>
      </c>
      <c r="C43" s="2" t="s">
        <v>91</v>
      </c>
      <c r="D43" s="2" t="str">
        <f aca="false">INDEX(Léky!$B$2:$B$11,MATCH(C43,Léky!$A$2:$A$11,0))</f>
        <v>Ibuprofen 400 mg</v>
      </c>
      <c r="E43" s="2" t="str">
        <f aca="false">INDEX(Léky!$E$2:$E$11,MATCH(C43,Léky!$A$2:$A$11,0))</f>
        <v>Bolest</v>
      </c>
      <c r="F43" s="2" t="n">
        <v>1</v>
      </c>
      <c r="G43" s="5" t="n">
        <f aca="false">INDEX(Léky!$H$2:$H$11,MATCH(C43,Léky!$A$2:$A$11,0))</f>
        <v>65</v>
      </c>
      <c r="H43" s="5" t="n">
        <f aca="false">F43*G43</f>
        <v>65</v>
      </c>
    </row>
    <row r="44" customFormat="false" ht="15" hidden="false" customHeight="false" outlineLevel="0" collapsed="false">
      <c r="A44" s="11" t="n">
        <v>45658</v>
      </c>
      <c r="B44" s="2" t="s">
        <v>156</v>
      </c>
      <c r="C44" s="2" t="s">
        <v>42</v>
      </c>
      <c r="D44" s="2" t="str">
        <f aca="false">INDEX(Léky!$B$2:$B$11,MATCH(C44,Léky!$A$2:$A$11,0))</f>
        <v>Atorvastatin 20 mg</v>
      </c>
      <c r="E44" s="2" t="str">
        <f aca="false">INDEX(Léky!$E$2:$E$11,MATCH(C44,Léky!$A$2:$A$11,0))</f>
        <v>Cholesterol</v>
      </c>
      <c r="F44" s="2" t="n">
        <v>1</v>
      </c>
      <c r="G44" s="5" t="n">
        <f aca="false">INDEX(Léky!$H$2:$H$11,MATCH(C44,Léky!$A$2:$A$11,0))</f>
        <v>145</v>
      </c>
      <c r="H44" s="5" t="n">
        <f aca="false">F44*G44</f>
        <v>145</v>
      </c>
    </row>
    <row r="45" customFormat="false" ht="15" hidden="false" customHeight="false" outlineLevel="0" collapsed="false">
      <c r="A45" s="11" t="n">
        <v>45658</v>
      </c>
      <c r="B45" s="2" t="s">
        <v>156</v>
      </c>
      <c r="C45" s="2" t="s">
        <v>63</v>
      </c>
      <c r="D45" s="2" t="str">
        <f aca="false">INDEX(Léky!$B$2:$B$11,MATCH(C45,Léky!$A$2:$A$11,0))</f>
        <v>Omeprazol 20 mg</v>
      </c>
      <c r="E45" s="2" t="str">
        <f aca="false">INDEX(Léky!$E$2:$E$11,MATCH(C45,Léky!$A$2:$A$11,0))</f>
        <v>Trávení</v>
      </c>
      <c r="F45" s="2" t="n">
        <v>1</v>
      </c>
      <c r="G45" s="5" t="n">
        <f aca="false">INDEX(Léky!$H$2:$H$11,MATCH(C45,Léky!$A$2:$A$11,0))</f>
        <v>135</v>
      </c>
      <c r="H45" s="5" t="n">
        <f aca="false">F45*G45</f>
        <v>135</v>
      </c>
    </row>
    <row r="46" customFormat="false" ht="15" hidden="false" customHeight="false" outlineLevel="0" collapsed="false">
      <c r="A46" s="11" t="n">
        <v>45658</v>
      </c>
      <c r="B46" s="2" t="s">
        <v>159</v>
      </c>
      <c r="C46" s="2" t="s">
        <v>57</v>
      </c>
      <c r="D46" s="2" t="str">
        <f aca="false">INDEX(Léky!$B$2:$B$11,MATCH(C46,Léky!$A$2:$A$11,0))</f>
        <v>Levothyroxin 50 µg</v>
      </c>
      <c r="E46" s="2" t="str">
        <f aca="false">INDEX(Léky!$E$2:$E$11,MATCH(C46,Léky!$A$2:$A$11,0))</f>
        <v>Štítná žláza</v>
      </c>
      <c r="F46" s="2" t="n">
        <v>1</v>
      </c>
      <c r="G46" s="5" t="n">
        <f aca="false">INDEX(Léky!$H$2:$H$11,MATCH(C46,Léky!$A$2:$A$11,0))</f>
        <v>118</v>
      </c>
      <c r="H46" s="5" t="n">
        <f aca="false">F46*G46</f>
        <v>118</v>
      </c>
    </row>
    <row r="47" customFormat="false" ht="15" hidden="false" customHeight="false" outlineLevel="0" collapsed="false">
      <c r="A47" s="11" t="n">
        <v>45658</v>
      </c>
      <c r="B47" s="2" t="s">
        <v>160</v>
      </c>
      <c r="C47" s="2" t="s">
        <v>48</v>
      </c>
      <c r="D47" s="2" t="str">
        <f aca="false">INDEX(Léky!$B$2:$B$11,MATCH(C47,Léky!$A$2:$A$11,0))</f>
        <v>Amlodipin 5 mg</v>
      </c>
      <c r="E47" s="2" t="str">
        <f aca="false">INDEX(Léky!$E$2:$E$11,MATCH(C47,Léky!$A$2:$A$11,0))</f>
        <v>Krevní tlak</v>
      </c>
      <c r="F47" s="2" t="n">
        <v>1</v>
      </c>
      <c r="G47" s="5" t="n">
        <f aca="false">INDEX(Léky!$H$2:$H$11,MATCH(C47,Léky!$A$2:$A$11,0))</f>
        <v>72</v>
      </c>
      <c r="H47" s="5" t="n">
        <f aca="false">F47*G47</f>
        <v>72</v>
      </c>
    </row>
    <row r="48" customFormat="false" ht="15" hidden="false" customHeight="false" outlineLevel="0" collapsed="false">
      <c r="A48" s="11" t="n">
        <v>45658</v>
      </c>
      <c r="B48" s="2" t="s">
        <v>160</v>
      </c>
      <c r="C48" s="2" t="s">
        <v>57</v>
      </c>
      <c r="D48" s="2" t="str">
        <f aca="false">INDEX(Léky!$B$2:$B$11,MATCH(C48,Léky!$A$2:$A$11,0))</f>
        <v>Levothyroxin 50 µg</v>
      </c>
      <c r="E48" s="2" t="str">
        <f aca="false">INDEX(Léky!$E$2:$E$11,MATCH(C48,Léky!$A$2:$A$11,0))</f>
        <v>Štítná žláza</v>
      </c>
      <c r="F48" s="2" t="n">
        <v>1</v>
      </c>
      <c r="G48" s="5" t="n">
        <f aca="false">INDEX(Léky!$H$2:$H$11,MATCH(C48,Léky!$A$2:$A$11,0))</f>
        <v>118</v>
      </c>
      <c r="H48" s="5" t="n">
        <f aca="false">F48*G48</f>
        <v>118</v>
      </c>
    </row>
    <row r="49" customFormat="false" ht="15" hidden="false" customHeight="false" outlineLevel="0" collapsed="false">
      <c r="A49" s="11" t="n">
        <v>45658</v>
      </c>
      <c r="B49" s="2" t="s">
        <v>161</v>
      </c>
      <c r="C49" s="2" t="s">
        <v>34</v>
      </c>
      <c r="D49" s="2" t="str">
        <f aca="false">INDEX(Léky!$B$2:$B$11,MATCH(C49,Léky!$A$2:$A$11,0))</f>
        <v>Metformin 500 mg</v>
      </c>
      <c r="E49" s="2" t="str">
        <f aca="false">INDEX(Léky!$E$2:$E$11,MATCH(C49,Léky!$A$2:$A$11,0))</f>
        <v>Diabetes</v>
      </c>
      <c r="F49" s="2" t="n">
        <v>1</v>
      </c>
      <c r="G49" s="5" t="n">
        <f aca="false">INDEX(Léky!$H$2:$H$11,MATCH(C49,Léky!$A$2:$A$11,0))</f>
        <v>89</v>
      </c>
      <c r="H49" s="5" t="n">
        <f aca="false">F49*G49</f>
        <v>89</v>
      </c>
    </row>
    <row r="50" customFormat="false" ht="15" hidden="false" customHeight="false" outlineLevel="0" collapsed="false">
      <c r="A50" s="11" t="n">
        <v>45658</v>
      </c>
      <c r="B50" s="2" t="s">
        <v>161</v>
      </c>
      <c r="C50" s="2" t="s">
        <v>57</v>
      </c>
      <c r="D50" s="2" t="str">
        <f aca="false">INDEX(Léky!$B$2:$B$11,MATCH(C50,Léky!$A$2:$A$11,0))</f>
        <v>Levothyroxin 50 µg</v>
      </c>
      <c r="E50" s="2" t="str">
        <f aca="false">INDEX(Léky!$E$2:$E$11,MATCH(C50,Léky!$A$2:$A$11,0))</f>
        <v>Štítná žláza</v>
      </c>
      <c r="F50" s="2" t="n">
        <v>1</v>
      </c>
      <c r="G50" s="5" t="n">
        <f aca="false">INDEX(Léky!$H$2:$H$11,MATCH(C50,Léky!$A$2:$A$11,0))</f>
        <v>118</v>
      </c>
      <c r="H50" s="5" t="n">
        <f aca="false">F50*G50</f>
        <v>118</v>
      </c>
    </row>
    <row r="51" customFormat="false" ht="15" hidden="false" customHeight="false" outlineLevel="0" collapsed="false">
      <c r="A51" s="11" t="n">
        <v>45658</v>
      </c>
      <c r="B51" s="2" t="s">
        <v>161</v>
      </c>
      <c r="C51" s="2" t="s">
        <v>84</v>
      </c>
      <c r="D51" s="2" t="str">
        <f aca="false">INDEX(Léky!$B$2:$B$11,MATCH(C51,Léky!$A$2:$A$11,0))</f>
        <v>Amoxicilin 500 mg</v>
      </c>
      <c r="E51" s="2" t="str">
        <f aca="false">INDEX(Léky!$E$2:$E$11,MATCH(C51,Léky!$A$2:$A$11,0))</f>
        <v>Antibiotika</v>
      </c>
      <c r="F51" s="2" t="n">
        <v>1</v>
      </c>
      <c r="G51" s="5" t="n">
        <f aca="false">INDEX(Léky!$H$2:$H$11,MATCH(C51,Léky!$A$2:$A$11,0))</f>
        <v>120</v>
      </c>
      <c r="H51" s="5" t="n">
        <f aca="false">F51*G51</f>
        <v>120</v>
      </c>
    </row>
    <row r="52" customFormat="false" ht="15" hidden="false" customHeight="false" outlineLevel="0" collapsed="false">
      <c r="A52" s="11" t="n">
        <v>45658</v>
      </c>
      <c r="B52" s="2" t="s">
        <v>162</v>
      </c>
      <c r="C52" s="2" t="s">
        <v>42</v>
      </c>
      <c r="D52" s="2" t="str">
        <f aca="false">INDEX(Léky!$B$2:$B$11,MATCH(C52,Léky!$A$2:$A$11,0))</f>
        <v>Atorvastatin 20 mg</v>
      </c>
      <c r="E52" s="2" t="str">
        <f aca="false">INDEX(Léky!$E$2:$E$11,MATCH(C52,Léky!$A$2:$A$11,0))</f>
        <v>Cholesterol</v>
      </c>
      <c r="F52" s="2" t="n">
        <v>1</v>
      </c>
      <c r="G52" s="5" t="n">
        <f aca="false">INDEX(Léky!$H$2:$H$11,MATCH(C52,Léky!$A$2:$A$11,0))</f>
        <v>145</v>
      </c>
      <c r="H52" s="5" t="n">
        <f aca="false">F52*G52</f>
        <v>145</v>
      </c>
    </row>
    <row r="53" customFormat="false" ht="15" hidden="false" customHeight="false" outlineLevel="0" collapsed="false">
      <c r="A53" s="11" t="n">
        <v>45658</v>
      </c>
      <c r="B53" s="2" t="s">
        <v>162</v>
      </c>
      <c r="C53" s="2" t="s">
        <v>84</v>
      </c>
      <c r="D53" s="2" t="str">
        <f aca="false">INDEX(Léky!$B$2:$B$11,MATCH(C53,Léky!$A$2:$A$11,0))</f>
        <v>Amoxicilin 500 mg</v>
      </c>
      <c r="E53" s="2" t="str">
        <f aca="false">INDEX(Léky!$E$2:$E$11,MATCH(C53,Léky!$A$2:$A$11,0))</f>
        <v>Antibiotika</v>
      </c>
      <c r="F53" s="2" t="n">
        <v>1</v>
      </c>
      <c r="G53" s="5" t="n">
        <f aca="false">INDEX(Léky!$H$2:$H$11,MATCH(C53,Léky!$A$2:$A$11,0))</f>
        <v>120</v>
      </c>
      <c r="H53" s="5" t="n">
        <f aca="false">F53*G53</f>
        <v>120</v>
      </c>
    </row>
    <row r="54" customFormat="false" ht="15" hidden="false" customHeight="false" outlineLevel="0" collapsed="false">
      <c r="A54" s="11" t="n">
        <v>45658</v>
      </c>
      <c r="B54" s="2" t="s">
        <v>166</v>
      </c>
      <c r="C54" s="2" t="s">
        <v>84</v>
      </c>
      <c r="D54" s="2" t="str">
        <f aca="false">INDEX(Léky!$B$2:$B$11,MATCH(C54,Léky!$A$2:$A$11,0))</f>
        <v>Amoxicilin 500 mg</v>
      </c>
      <c r="E54" s="2" t="str">
        <f aca="false">INDEX(Léky!$E$2:$E$11,MATCH(C54,Léky!$A$2:$A$11,0))</f>
        <v>Antibiotika</v>
      </c>
      <c r="F54" s="2" t="n">
        <v>1</v>
      </c>
      <c r="G54" s="5" t="n">
        <f aca="false">INDEX(Léky!$H$2:$H$11,MATCH(C54,Léky!$A$2:$A$11,0))</f>
        <v>120</v>
      </c>
      <c r="H54" s="5" t="n">
        <f aca="false">F54*G54</f>
        <v>120</v>
      </c>
    </row>
    <row r="55" customFormat="false" ht="15" hidden="false" customHeight="false" outlineLevel="0" collapsed="false">
      <c r="A55" s="11" t="n">
        <v>45658</v>
      </c>
      <c r="B55" s="2" t="s">
        <v>166</v>
      </c>
      <c r="C55" s="2" t="s">
        <v>91</v>
      </c>
      <c r="D55" s="2" t="str">
        <f aca="false">INDEX(Léky!$B$2:$B$11,MATCH(C55,Léky!$A$2:$A$11,0))</f>
        <v>Ibuprofen 400 mg</v>
      </c>
      <c r="E55" s="2" t="str">
        <f aca="false">INDEX(Léky!$E$2:$E$11,MATCH(C55,Léky!$A$2:$A$11,0))</f>
        <v>Bolest</v>
      </c>
      <c r="F55" s="2" t="n">
        <v>1</v>
      </c>
      <c r="G55" s="5" t="n">
        <f aca="false">INDEX(Léky!$H$2:$H$11,MATCH(C55,Léky!$A$2:$A$11,0))</f>
        <v>65</v>
      </c>
      <c r="H55" s="5" t="n">
        <f aca="false">F55*G55</f>
        <v>65</v>
      </c>
    </row>
    <row r="56" customFormat="false" ht="15" hidden="false" customHeight="false" outlineLevel="0" collapsed="false">
      <c r="A56" s="11" t="n">
        <v>45658</v>
      </c>
      <c r="B56" s="2" t="s">
        <v>167</v>
      </c>
      <c r="C56" s="2" t="s">
        <v>53</v>
      </c>
      <c r="D56" s="2" t="str">
        <f aca="false">INDEX(Léky!$B$2:$B$11,MATCH(C56,Léky!$A$2:$A$11,0))</f>
        <v>Ramipril 5 mg</v>
      </c>
      <c r="E56" s="2" t="str">
        <f aca="false">INDEX(Léky!$E$2:$E$11,MATCH(C56,Léky!$A$2:$A$11,0))</f>
        <v>Krevní tlak</v>
      </c>
      <c r="F56" s="2" t="n">
        <v>1</v>
      </c>
      <c r="G56" s="5" t="n">
        <f aca="false">INDEX(Léky!$H$2:$H$11,MATCH(C56,Léky!$A$2:$A$11,0))</f>
        <v>98</v>
      </c>
      <c r="H56" s="5" t="n">
        <f aca="false">F56*G56</f>
        <v>98</v>
      </c>
    </row>
    <row r="57" customFormat="false" ht="15" hidden="false" customHeight="false" outlineLevel="0" collapsed="false">
      <c r="A57" s="11" t="n">
        <v>45658</v>
      </c>
      <c r="B57" s="2" t="s">
        <v>168</v>
      </c>
      <c r="C57" s="2" t="s">
        <v>34</v>
      </c>
      <c r="D57" s="2" t="str">
        <f aca="false">INDEX(Léky!$B$2:$B$11,MATCH(C57,Léky!$A$2:$A$11,0))</f>
        <v>Metformin 500 mg</v>
      </c>
      <c r="E57" s="2" t="str">
        <f aca="false">INDEX(Léky!$E$2:$E$11,MATCH(C57,Léky!$A$2:$A$11,0))</f>
        <v>Diabetes</v>
      </c>
      <c r="F57" s="2" t="n">
        <v>1</v>
      </c>
      <c r="G57" s="5" t="n">
        <f aca="false">INDEX(Léky!$H$2:$H$11,MATCH(C57,Léky!$A$2:$A$11,0))</f>
        <v>89</v>
      </c>
      <c r="H57" s="5" t="n">
        <f aca="false">F57*G57</f>
        <v>89</v>
      </c>
    </row>
    <row r="58" customFormat="false" ht="15" hidden="false" customHeight="false" outlineLevel="0" collapsed="false">
      <c r="A58" s="11" t="n">
        <v>45658</v>
      </c>
      <c r="B58" s="2" t="s">
        <v>168</v>
      </c>
      <c r="C58" s="2" t="s">
        <v>76</v>
      </c>
      <c r="D58" s="2" t="str">
        <f aca="false">INDEX(Léky!$B$2:$B$11,MATCH(C58,Léky!$A$2:$A$11,0))</f>
        <v>Salbutamol inhalátor</v>
      </c>
      <c r="E58" s="2" t="str">
        <f aca="false">INDEX(Léky!$E$2:$E$11,MATCH(C58,Léky!$A$2:$A$11,0))</f>
        <v>Dýchací cesty</v>
      </c>
      <c r="F58" s="2" t="n">
        <v>1</v>
      </c>
      <c r="G58" s="5" t="n">
        <f aca="false">INDEX(Léky!$H$2:$H$11,MATCH(C58,Léky!$A$2:$A$11,0))</f>
        <v>165</v>
      </c>
      <c r="H58" s="5" t="n">
        <f aca="false">F58*G58</f>
        <v>165</v>
      </c>
    </row>
    <row r="59" customFormat="false" ht="15" hidden="false" customHeight="false" outlineLevel="0" collapsed="false">
      <c r="A59" s="11" t="n">
        <v>45658</v>
      </c>
      <c r="B59" s="2" t="s">
        <v>169</v>
      </c>
      <c r="C59" s="2" t="s">
        <v>63</v>
      </c>
      <c r="D59" s="2" t="str">
        <f aca="false">INDEX(Léky!$B$2:$B$11,MATCH(C59,Léky!$A$2:$A$11,0))</f>
        <v>Omeprazol 20 mg</v>
      </c>
      <c r="E59" s="2" t="str">
        <f aca="false">INDEX(Léky!$E$2:$E$11,MATCH(C59,Léky!$A$2:$A$11,0))</f>
        <v>Trávení</v>
      </c>
      <c r="F59" s="2" t="n">
        <v>1</v>
      </c>
      <c r="G59" s="5" t="n">
        <f aca="false">INDEX(Léky!$H$2:$H$11,MATCH(C59,Léky!$A$2:$A$11,0))</f>
        <v>135</v>
      </c>
      <c r="H59" s="5" t="n">
        <f aca="false">F59*G59</f>
        <v>135</v>
      </c>
    </row>
    <row r="60" customFormat="false" ht="15" hidden="false" customHeight="false" outlineLevel="0" collapsed="false">
      <c r="A60" s="11" t="n">
        <v>45658</v>
      </c>
      <c r="B60" s="2" t="s">
        <v>170</v>
      </c>
      <c r="C60" s="2" t="s">
        <v>63</v>
      </c>
      <c r="D60" s="2" t="str">
        <f aca="false">INDEX(Léky!$B$2:$B$11,MATCH(C60,Léky!$A$2:$A$11,0))</f>
        <v>Omeprazol 20 mg</v>
      </c>
      <c r="E60" s="2" t="str">
        <f aca="false">INDEX(Léky!$E$2:$E$11,MATCH(C60,Léky!$A$2:$A$11,0))</f>
        <v>Trávení</v>
      </c>
      <c r="F60" s="2" t="n">
        <v>1</v>
      </c>
      <c r="G60" s="5" t="n">
        <f aca="false">INDEX(Léky!$H$2:$H$11,MATCH(C60,Léky!$A$2:$A$11,0))</f>
        <v>135</v>
      </c>
      <c r="H60" s="5" t="n">
        <f aca="false">F60*G60</f>
        <v>135</v>
      </c>
    </row>
    <row r="61" customFormat="false" ht="15" hidden="false" customHeight="false" outlineLevel="0" collapsed="false">
      <c r="A61" s="11" t="n">
        <v>45658</v>
      </c>
      <c r="B61" s="2" t="s">
        <v>171</v>
      </c>
      <c r="C61" s="2" t="s">
        <v>34</v>
      </c>
      <c r="D61" s="2" t="str">
        <f aca="false">INDEX(Léky!$B$2:$B$11,MATCH(C61,Léky!$A$2:$A$11,0))</f>
        <v>Metformin 500 mg</v>
      </c>
      <c r="E61" s="2" t="str">
        <f aca="false">INDEX(Léky!$E$2:$E$11,MATCH(C61,Léky!$A$2:$A$11,0))</f>
        <v>Diabetes</v>
      </c>
      <c r="F61" s="2" t="n">
        <v>2</v>
      </c>
      <c r="G61" s="5" t="n">
        <f aca="false">INDEX(Léky!$H$2:$H$11,MATCH(C61,Léky!$A$2:$A$11,0))</f>
        <v>89</v>
      </c>
      <c r="H61" s="5" t="n">
        <f aca="false">F61*G61</f>
        <v>178</v>
      </c>
    </row>
    <row r="62" customFormat="false" ht="15" hidden="false" customHeight="false" outlineLevel="0" collapsed="false">
      <c r="A62" s="11" t="n">
        <v>45658</v>
      </c>
      <c r="B62" s="2" t="s">
        <v>171</v>
      </c>
      <c r="C62" s="2" t="s">
        <v>48</v>
      </c>
      <c r="D62" s="2" t="str">
        <f aca="false">INDEX(Léky!$B$2:$B$11,MATCH(C62,Léky!$A$2:$A$11,0))</f>
        <v>Amlodipin 5 mg</v>
      </c>
      <c r="E62" s="2" t="str">
        <f aca="false">INDEX(Léky!$E$2:$E$11,MATCH(C62,Léky!$A$2:$A$11,0))</f>
        <v>Krevní tlak</v>
      </c>
      <c r="F62" s="2" t="n">
        <v>1</v>
      </c>
      <c r="G62" s="5" t="n">
        <f aca="false">INDEX(Léky!$H$2:$H$11,MATCH(C62,Léky!$A$2:$A$11,0))</f>
        <v>72</v>
      </c>
      <c r="H62" s="5" t="n">
        <f aca="false">F62*G62</f>
        <v>72</v>
      </c>
    </row>
    <row r="63" customFormat="false" ht="15" hidden="false" customHeight="false" outlineLevel="0" collapsed="false">
      <c r="A63" s="11" t="n">
        <v>45658</v>
      </c>
      <c r="B63" s="2" t="s">
        <v>171</v>
      </c>
      <c r="C63" s="2" t="s">
        <v>57</v>
      </c>
      <c r="D63" s="2" t="str">
        <f aca="false">INDEX(Léky!$B$2:$B$11,MATCH(C63,Léky!$A$2:$A$11,0))</f>
        <v>Levothyroxin 50 µg</v>
      </c>
      <c r="E63" s="2" t="str">
        <f aca="false">INDEX(Léky!$E$2:$E$11,MATCH(C63,Léky!$A$2:$A$11,0))</f>
        <v>Štítná žláza</v>
      </c>
      <c r="F63" s="2" t="n">
        <v>1</v>
      </c>
      <c r="G63" s="5" t="n">
        <f aca="false">INDEX(Léky!$H$2:$H$11,MATCH(C63,Léky!$A$2:$A$11,0))</f>
        <v>118</v>
      </c>
      <c r="H63" s="5" t="n">
        <f aca="false">F63*G63</f>
        <v>118</v>
      </c>
    </row>
    <row r="64" customFormat="false" ht="15" hidden="false" customHeight="false" outlineLevel="0" collapsed="false">
      <c r="A64" s="11" t="n">
        <v>45658</v>
      </c>
      <c r="B64" s="2" t="s">
        <v>173</v>
      </c>
      <c r="C64" s="2" t="s">
        <v>76</v>
      </c>
      <c r="D64" s="2" t="str">
        <f aca="false">INDEX(Léky!$B$2:$B$11,MATCH(C64,Léky!$A$2:$A$11,0))</f>
        <v>Salbutamol inhalátor</v>
      </c>
      <c r="E64" s="2" t="str">
        <f aca="false">INDEX(Léky!$E$2:$E$11,MATCH(C64,Léky!$A$2:$A$11,0))</f>
        <v>Dýchací cesty</v>
      </c>
      <c r="F64" s="2" t="n">
        <v>1</v>
      </c>
      <c r="G64" s="5" t="n">
        <f aca="false">INDEX(Léky!$H$2:$H$11,MATCH(C64,Léky!$A$2:$A$11,0))</f>
        <v>165</v>
      </c>
      <c r="H64" s="5" t="n">
        <f aca="false">F64*G64</f>
        <v>165</v>
      </c>
    </row>
    <row r="65" customFormat="false" ht="15" hidden="false" customHeight="false" outlineLevel="0" collapsed="false">
      <c r="A65" s="11" t="n">
        <v>45658</v>
      </c>
      <c r="B65" s="2" t="s">
        <v>174</v>
      </c>
      <c r="C65" s="2" t="s">
        <v>48</v>
      </c>
      <c r="D65" s="2" t="str">
        <f aca="false">INDEX(Léky!$B$2:$B$11,MATCH(C65,Léky!$A$2:$A$11,0))</f>
        <v>Amlodipin 5 mg</v>
      </c>
      <c r="E65" s="2" t="str">
        <f aca="false">INDEX(Léky!$E$2:$E$11,MATCH(C65,Léky!$A$2:$A$11,0))</f>
        <v>Krevní tlak</v>
      </c>
      <c r="F65" s="2" t="n">
        <v>1</v>
      </c>
      <c r="G65" s="5" t="n">
        <f aca="false">INDEX(Léky!$H$2:$H$11,MATCH(C65,Léky!$A$2:$A$11,0))</f>
        <v>72</v>
      </c>
      <c r="H65" s="5" t="n">
        <f aca="false">F65*G65</f>
        <v>72</v>
      </c>
    </row>
    <row r="66" customFormat="false" ht="15" hidden="false" customHeight="false" outlineLevel="0" collapsed="false">
      <c r="A66" s="11" t="n">
        <v>45658</v>
      </c>
      <c r="B66" s="2" t="s">
        <v>174</v>
      </c>
      <c r="C66" s="2" t="s">
        <v>53</v>
      </c>
      <c r="D66" s="2" t="str">
        <f aca="false">INDEX(Léky!$B$2:$B$11,MATCH(C66,Léky!$A$2:$A$11,0))</f>
        <v>Ramipril 5 mg</v>
      </c>
      <c r="E66" s="2" t="str">
        <f aca="false">INDEX(Léky!$E$2:$E$11,MATCH(C66,Léky!$A$2:$A$11,0))</f>
        <v>Krevní tlak</v>
      </c>
      <c r="F66" s="2" t="n">
        <v>1</v>
      </c>
      <c r="G66" s="5" t="n">
        <f aca="false">INDEX(Léky!$H$2:$H$11,MATCH(C66,Léky!$A$2:$A$11,0))</f>
        <v>98</v>
      </c>
      <c r="H66" s="5" t="n">
        <f aca="false">F66*G66</f>
        <v>98</v>
      </c>
    </row>
    <row r="67" customFormat="false" ht="15" hidden="false" customHeight="false" outlineLevel="0" collapsed="false">
      <c r="A67" s="11" t="n">
        <v>45658</v>
      </c>
      <c r="B67" s="2" t="s">
        <v>175</v>
      </c>
      <c r="C67" s="2" t="s">
        <v>63</v>
      </c>
      <c r="D67" s="2" t="str">
        <f aca="false">INDEX(Léky!$B$2:$B$11,MATCH(C67,Léky!$A$2:$A$11,0))</f>
        <v>Omeprazol 20 mg</v>
      </c>
      <c r="E67" s="2" t="str">
        <f aca="false">INDEX(Léky!$E$2:$E$11,MATCH(C67,Léky!$A$2:$A$11,0))</f>
        <v>Trávení</v>
      </c>
      <c r="F67" s="2" t="n">
        <v>1</v>
      </c>
      <c r="G67" s="5" t="n">
        <f aca="false">INDEX(Léky!$H$2:$H$11,MATCH(C67,Léky!$A$2:$A$11,0))</f>
        <v>135</v>
      </c>
      <c r="H67" s="5" t="n">
        <f aca="false">F67*G67</f>
        <v>135</v>
      </c>
    </row>
    <row r="68" customFormat="false" ht="15" hidden="false" customHeight="false" outlineLevel="0" collapsed="false">
      <c r="A68" s="11" t="n">
        <v>45689</v>
      </c>
      <c r="B68" s="2" t="s">
        <v>103</v>
      </c>
      <c r="C68" s="2" t="s">
        <v>34</v>
      </c>
      <c r="D68" s="2" t="str">
        <f aca="false">INDEX(Léky!$B$2:$B$11,MATCH(C68,Léky!$A$2:$A$11,0))</f>
        <v>Metformin 500 mg</v>
      </c>
      <c r="E68" s="2" t="str">
        <f aca="false">INDEX(Léky!$E$2:$E$11,MATCH(C68,Léky!$A$2:$A$11,0))</f>
        <v>Diabetes</v>
      </c>
      <c r="F68" s="2" t="n">
        <v>1</v>
      </c>
      <c r="G68" s="5" t="n">
        <f aca="false">INDEX(Léky!$H$2:$H$11,MATCH(C68,Léky!$A$2:$A$11,0))</f>
        <v>89</v>
      </c>
      <c r="H68" s="5" t="n">
        <f aca="false">F68*G68</f>
        <v>89</v>
      </c>
    </row>
    <row r="69" customFormat="false" ht="15" hidden="false" customHeight="false" outlineLevel="0" collapsed="false">
      <c r="A69" s="11" t="n">
        <v>45689</v>
      </c>
      <c r="B69" s="2" t="s">
        <v>107</v>
      </c>
      <c r="C69" s="2" t="s">
        <v>91</v>
      </c>
      <c r="D69" s="2" t="str">
        <f aca="false">INDEX(Léky!$B$2:$B$11,MATCH(C69,Léky!$A$2:$A$11,0))</f>
        <v>Ibuprofen 400 mg</v>
      </c>
      <c r="E69" s="2" t="str">
        <f aca="false">INDEX(Léky!$E$2:$E$11,MATCH(C69,Léky!$A$2:$A$11,0))</f>
        <v>Bolest</v>
      </c>
      <c r="F69" s="2" t="n">
        <v>1</v>
      </c>
      <c r="G69" s="5" t="n">
        <f aca="false">INDEX(Léky!$H$2:$H$11,MATCH(C69,Léky!$A$2:$A$11,0))</f>
        <v>65</v>
      </c>
      <c r="H69" s="5" t="n">
        <f aca="false">F69*G69</f>
        <v>65</v>
      </c>
    </row>
    <row r="70" customFormat="false" ht="15" hidden="false" customHeight="false" outlineLevel="0" collapsed="false">
      <c r="A70" s="11" t="n">
        <v>45689</v>
      </c>
      <c r="B70" s="2" t="s">
        <v>110</v>
      </c>
      <c r="C70" s="2" t="s">
        <v>63</v>
      </c>
      <c r="D70" s="2" t="str">
        <f aca="false">INDEX(Léky!$B$2:$B$11,MATCH(C70,Léky!$A$2:$A$11,0))</f>
        <v>Omeprazol 20 mg</v>
      </c>
      <c r="E70" s="2" t="str">
        <f aca="false">INDEX(Léky!$E$2:$E$11,MATCH(C70,Léky!$A$2:$A$11,0))</f>
        <v>Trávení</v>
      </c>
      <c r="F70" s="2" t="n">
        <v>1</v>
      </c>
      <c r="G70" s="5" t="n">
        <f aca="false">INDEX(Léky!$H$2:$H$11,MATCH(C70,Léky!$A$2:$A$11,0))</f>
        <v>135</v>
      </c>
      <c r="H70" s="5" t="n">
        <f aca="false">F70*G70</f>
        <v>135</v>
      </c>
    </row>
    <row r="71" customFormat="false" ht="15" hidden="false" customHeight="false" outlineLevel="0" collapsed="false">
      <c r="A71" s="11" t="n">
        <v>45689</v>
      </c>
      <c r="B71" s="2" t="s">
        <v>114</v>
      </c>
      <c r="C71" s="2" t="s">
        <v>53</v>
      </c>
      <c r="D71" s="2" t="str">
        <f aca="false">INDEX(Léky!$B$2:$B$11,MATCH(C71,Léky!$A$2:$A$11,0))</f>
        <v>Ramipril 5 mg</v>
      </c>
      <c r="E71" s="2" t="str">
        <f aca="false">INDEX(Léky!$E$2:$E$11,MATCH(C71,Léky!$A$2:$A$11,0))</f>
        <v>Krevní tlak</v>
      </c>
      <c r="F71" s="2" t="n">
        <v>1</v>
      </c>
      <c r="G71" s="5" t="n">
        <f aca="false">INDEX(Léky!$H$2:$H$11,MATCH(C71,Léky!$A$2:$A$11,0))</f>
        <v>98</v>
      </c>
      <c r="H71" s="5" t="n">
        <f aca="false">F71*G71</f>
        <v>98</v>
      </c>
    </row>
    <row r="72" customFormat="false" ht="15" hidden="false" customHeight="false" outlineLevel="0" collapsed="false">
      <c r="A72" s="11" t="n">
        <v>45689</v>
      </c>
      <c r="B72" s="2" t="s">
        <v>118</v>
      </c>
      <c r="C72" s="2" t="s">
        <v>48</v>
      </c>
      <c r="D72" s="2" t="str">
        <f aca="false">INDEX(Léky!$B$2:$B$11,MATCH(C72,Léky!$A$2:$A$11,0))</f>
        <v>Amlodipin 5 mg</v>
      </c>
      <c r="E72" s="2" t="str">
        <f aca="false">INDEX(Léky!$E$2:$E$11,MATCH(C72,Léky!$A$2:$A$11,0))</f>
        <v>Krevní tlak</v>
      </c>
      <c r="F72" s="2" t="n">
        <v>1</v>
      </c>
      <c r="G72" s="5" t="n">
        <f aca="false">INDEX(Léky!$H$2:$H$11,MATCH(C72,Léky!$A$2:$A$11,0))</f>
        <v>72</v>
      </c>
      <c r="H72" s="5" t="n">
        <f aca="false">F72*G72</f>
        <v>72</v>
      </c>
    </row>
    <row r="73" customFormat="false" ht="15" hidden="false" customHeight="false" outlineLevel="0" collapsed="false">
      <c r="A73" s="11" t="n">
        <v>45689</v>
      </c>
      <c r="B73" s="2" t="s">
        <v>119</v>
      </c>
      <c r="C73" s="2" t="s">
        <v>70</v>
      </c>
      <c r="D73" s="2" t="str">
        <f aca="false">INDEX(Léky!$B$2:$B$11,MATCH(C73,Léky!$A$2:$A$11,0))</f>
        <v>Sertralin 50 mg</v>
      </c>
      <c r="E73" s="2" t="str">
        <f aca="false">INDEX(Léky!$E$2:$E$11,MATCH(C73,Léky!$A$2:$A$11,0))</f>
        <v>Psychiatrie</v>
      </c>
      <c r="F73" s="2" t="n">
        <v>1</v>
      </c>
      <c r="G73" s="5" t="n">
        <f aca="false">INDEX(Léky!$H$2:$H$11,MATCH(C73,Léky!$A$2:$A$11,0))</f>
        <v>210</v>
      </c>
      <c r="H73" s="5" t="n">
        <f aca="false">F73*G73</f>
        <v>210</v>
      </c>
    </row>
    <row r="74" customFormat="false" ht="15" hidden="false" customHeight="false" outlineLevel="0" collapsed="false">
      <c r="A74" s="11" t="n">
        <v>45689</v>
      </c>
      <c r="B74" s="2" t="s">
        <v>124</v>
      </c>
      <c r="C74" s="2" t="s">
        <v>48</v>
      </c>
      <c r="D74" s="2" t="str">
        <f aca="false">INDEX(Léky!$B$2:$B$11,MATCH(C74,Léky!$A$2:$A$11,0))</f>
        <v>Amlodipin 5 mg</v>
      </c>
      <c r="E74" s="2" t="str">
        <f aca="false">INDEX(Léky!$E$2:$E$11,MATCH(C74,Léky!$A$2:$A$11,0))</f>
        <v>Krevní tlak</v>
      </c>
      <c r="F74" s="2" t="n">
        <v>1</v>
      </c>
      <c r="G74" s="5" t="n">
        <f aca="false">INDEX(Léky!$H$2:$H$11,MATCH(C74,Léky!$A$2:$A$11,0))</f>
        <v>72</v>
      </c>
      <c r="H74" s="5" t="n">
        <f aca="false">F74*G74</f>
        <v>72</v>
      </c>
    </row>
    <row r="75" customFormat="false" ht="15" hidden="false" customHeight="false" outlineLevel="0" collapsed="false">
      <c r="A75" s="11" t="n">
        <v>45689</v>
      </c>
      <c r="B75" s="2" t="s">
        <v>124</v>
      </c>
      <c r="C75" s="2" t="s">
        <v>84</v>
      </c>
      <c r="D75" s="2" t="str">
        <f aca="false">INDEX(Léky!$B$2:$B$11,MATCH(C75,Léky!$A$2:$A$11,0))</f>
        <v>Amoxicilin 500 mg</v>
      </c>
      <c r="E75" s="2" t="str">
        <f aca="false">INDEX(Léky!$E$2:$E$11,MATCH(C75,Léky!$A$2:$A$11,0))</f>
        <v>Antibiotika</v>
      </c>
      <c r="F75" s="2" t="n">
        <v>1</v>
      </c>
      <c r="G75" s="5" t="n">
        <f aca="false">INDEX(Léky!$H$2:$H$11,MATCH(C75,Léky!$A$2:$A$11,0))</f>
        <v>120</v>
      </c>
      <c r="H75" s="5" t="n">
        <f aca="false">F75*G75</f>
        <v>120</v>
      </c>
    </row>
    <row r="76" customFormat="false" ht="15" hidden="false" customHeight="false" outlineLevel="0" collapsed="false">
      <c r="A76" s="11" t="n">
        <v>45689</v>
      </c>
      <c r="B76" s="2" t="s">
        <v>125</v>
      </c>
      <c r="C76" s="2" t="s">
        <v>70</v>
      </c>
      <c r="D76" s="2" t="str">
        <f aca="false">INDEX(Léky!$B$2:$B$11,MATCH(C76,Léky!$A$2:$A$11,0))</f>
        <v>Sertralin 50 mg</v>
      </c>
      <c r="E76" s="2" t="str">
        <f aca="false">INDEX(Léky!$E$2:$E$11,MATCH(C76,Léky!$A$2:$A$11,0))</f>
        <v>Psychiatrie</v>
      </c>
      <c r="F76" s="2" t="n">
        <v>1</v>
      </c>
      <c r="G76" s="5" t="n">
        <f aca="false">INDEX(Léky!$H$2:$H$11,MATCH(C76,Léky!$A$2:$A$11,0))</f>
        <v>210</v>
      </c>
      <c r="H76" s="5" t="n">
        <f aca="false">F76*G76</f>
        <v>210</v>
      </c>
    </row>
    <row r="77" customFormat="false" ht="15" hidden="false" customHeight="false" outlineLevel="0" collapsed="false">
      <c r="A77" s="11" t="n">
        <v>45689</v>
      </c>
      <c r="B77" s="2" t="s">
        <v>127</v>
      </c>
      <c r="C77" s="2" t="s">
        <v>70</v>
      </c>
      <c r="D77" s="2" t="str">
        <f aca="false">INDEX(Léky!$B$2:$B$11,MATCH(C77,Léky!$A$2:$A$11,0))</f>
        <v>Sertralin 50 mg</v>
      </c>
      <c r="E77" s="2" t="str">
        <f aca="false">INDEX(Léky!$E$2:$E$11,MATCH(C77,Léky!$A$2:$A$11,0))</f>
        <v>Psychiatrie</v>
      </c>
      <c r="F77" s="2" t="n">
        <v>1</v>
      </c>
      <c r="G77" s="5" t="n">
        <f aca="false">INDEX(Léky!$H$2:$H$11,MATCH(C77,Léky!$A$2:$A$11,0))</f>
        <v>210</v>
      </c>
      <c r="H77" s="5" t="n">
        <f aca="false">F77*G77</f>
        <v>210</v>
      </c>
    </row>
    <row r="78" customFormat="false" ht="15" hidden="false" customHeight="false" outlineLevel="0" collapsed="false">
      <c r="A78" s="11" t="n">
        <v>45689</v>
      </c>
      <c r="B78" s="2" t="s">
        <v>128</v>
      </c>
      <c r="C78" s="2" t="s">
        <v>53</v>
      </c>
      <c r="D78" s="2" t="str">
        <f aca="false">INDEX(Léky!$B$2:$B$11,MATCH(C78,Léky!$A$2:$A$11,0))</f>
        <v>Ramipril 5 mg</v>
      </c>
      <c r="E78" s="2" t="str">
        <f aca="false">INDEX(Léky!$E$2:$E$11,MATCH(C78,Léky!$A$2:$A$11,0))</f>
        <v>Krevní tlak</v>
      </c>
      <c r="F78" s="2" t="n">
        <v>1</v>
      </c>
      <c r="G78" s="5" t="n">
        <f aca="false">INDEX(Léky!$H$2:$H$11,MATCH(C78,Léky!$A$2:$A$11,0))</f>
        <v>98</v>
      </c>
      <c r="H78" s="5" t="n">
        <f aca="false">F78*G78</f>
        <v>98</v>
      </c>
    </row>
    <row r="79" customFormat="false" ht="15" hidden="false" customHeight="false" outlineLevel="0" collapsed="false">
      <c r="A79" s="11" t="n">
        <v>45689</v>
      </c>
      <c r="B79" s="2" t="s">
        <v>129</v>
      </c>
      <c r="C79" s="2" t="s">
        <v>34</v>
      </c>
      <c r="D79" s="2" t="str">
        <f aca="false">INDEX(Léky!$B$2:$B$11,MATCH(C79,Léky!$A$2:$A$11,0))</f>
        <v>Metformin 500 mg</v>
      </c>
      <c r="E79" s="2" t="str">
        <f aca="false">INDEX(Léky!$E$2:$E$11,MATCH(C79,Léky!$A$2:$A$11,0))</f>
        <v>Diabetes</v>
      </c>
      <c r="F79" s="2" t="n">
        <v>1</v>
      </c>
      <c r="G79" s="5" t="n">
        <f aca="false">INDEX(Léky!$H$2:$H$11,MATCH(C79,Léky!$A$2:$A$11,0))</f>
        <v>89</v>
      </c>
      <c r="H79" s="5" t="n">
        <f aca="false">F79*G79</f>
        <v>89</v>
      </c>
    </row>
    <row r="80" customFormat="false" ht="15" hidden="false" customHeight="false" outlineLevel="0" collapsed="false">
      <c r="A80" s="11" t="n">
        <v>45689</v>
      </c>
      <c r="B80" s="2" t="s">
        <v>129</v>
      </c>
      <c r="C80" s="2" t="s">
        <v>70</v>
      </c>
      <c r="D80" s="2" t="str">
        <f aca="false">INDEX(Léky!$B$2:$B$11,MATCH(C80,Léky!$A$2:$A$11,0))</f>
        <v>Sertralin 50 mg</v>
      </c>
      <c r="E80" s="2" t="str">
        <f aca="false">INDEX(Léky!$E$2:$E$11,MATCH(C80,Léky!$A$2:$A$11,0))</f>
        <v>Psychiatrie</v>
      </c>
      <c r="F80" s="2" t="n">
        <v>1</v>
      </c>
      <c r="G80" s="5" t="n">
        <f aca="false">INDEX(Léky!$H$2:$H$11,MATCH(C80,Léky!$A$2:$A$11,0))</f>
        <v>210</v>
      </c>
      <c r="H80" s="5" t="n">
        <f aca="false">F80*G80</f>
        <v>210</v>
      </c>
    </row>
    <row r="81" customFormat="false" ht="15" hidden="false" customHeight="false" outlineLevel="0" collapsed="false">
      <c r="A81" s="11" t="n">
        <v>45689</v>
      </c>
      <c r="B81" s="2" t="s">
        <v>129</v>
      </c>
      <c r="C81" s="2" t="s">
        <v>84</v>
      </c>
      <c r="D81" s="2" t="str">
        <f aca="false">INDEX(Léky!$B$2:$B$11,MATCH(C81,Léky!$A$2:$A$11,0))</f>
        <v>Amoxicilin 500 mg</v>
      </c>
      <c r="E81" s="2" t="str">
        <f aca="false">INDEX(Léky!$E$2:$E$11,MATCH(C81,Léky!$A$2:$A$11,0))</f>
        <v>Antibiotika</v>
      </c>
      <c r="F81" s="2" t="n">
        <v>1</v>
      </c>
      <c r="G81" s="5" t="n">
        <f aca="false">INDEX(Léky!$H$2:$H$11,MATCH(C81,Léky!$A$2:$A$11,0))</f>
        <v>120</v>
      </c>
      <c r="H81" s="5" t="n">
        <f aca="false">F81*G81</f>
        <v>120</v>
      </c>
    </row>
    <row r="82" customFormat="false" ht="15" hidden="false" customHeight="false" outlineLevel="0" collapsed="false">
      <c r="A82" s="11" t="n">
        <v>45689</v>
      </c>
      <c r="B82" s="2" t="s">
        <v>130</v>
      </c>
      <c r="C82" s="2" t="s">
        <v>57</v>
      </c>
      <c r="D82" s="2" t="str">
        <f aca="false">INDEX(Léky!$B$2:$B$11,MATCH(C82,Léky!$A$2:$A$11,0))</f>
        <v>Levothyroxin 50 µg</v>
      </c>
      <c r="E82" s="2" t="str">
        <f aca="false">INDEX(Léky!$E$2:$E$11,MATCH(C82,Léky!$A$2:$A$11,0))</f>
        <v>Štítná žláza</v>
      </c>
      <c r="F82" s="2" t="n">
        <v>1</v>
      </c>
      <c r="G82" s="5" t="n">
        <f aca="false">INDEX(Léky!$H$2:$H$11,MATCH(C82,Léky!$A$2:$A$11,0))</f>
        <v>118</v>
      </c>
      <c r="H82" s="5" t="n">
        <f aca="false">F82*G82</f>
        <v>118</v>
      </c>
    </row>
    <row r="83" customFormat="false" ht="15" hidden="false" customHeight="false" outlineLevel="0" collapsed="false">
      <c r="A83" s="11" t="n">
        <v>45689</v>
      </c>
      <c r="B83" s="2" t="s">
        <v>131</v>
      </c>
      <c r="C83" s="2" t="s">
        <v>63</v>
      </c>
      <c r="D83" s="2" t="str">
        <f aca="false">INDEX(Léky!$B$2:$B$11,MATCH(C83,Léky!$A$2:$A$11,0))</f>
        <v>Omeprazol 20 mg</v>
      </c>
      <c r="E83" s="2" t="str">
        <f aca="false">INDEX(Léky!$E$2:$E$11,MATCH(C83,Léky!$A$2:$A$11,0))</f>
        <v>Trávení</v>
      </c>
      <c r="F83" s="2" t="n">
        <v>1</v>
      </c>
      <c r="G83" s="5" t="n">
        <f aca="false">INDEX(Léky!$H$2:$H$11,MATCH(C83,Léky!$A$2:$A$11,0))</f>
        <v>135</v>
      </c>
      <c r="H83" s="5" t="n">
        <f aca="false">F83*G83</f>
        <v>135</v>
      </c>
    </row>
    <row r="84" customFormat="false" ht="15" hidden="false" customHeight="false" outlineLevel="0" collapsed="false">
      <c r="A84" s="11" t="n">
        <v>45689</v>
      </c>
      <c r="B84" s="2" t="s">
        <v>131</v>
      </c>
      <c r="C84" s="2" t="s">
        <v>91</v>
      </c>
      <c r="D84" s="2" t="str">
        <f aca="false">INDEX(Léky!$B$2:$B$11,MATCH(C84,Léky!$A$2:$A$11,0))</f>
        <v>Ibuprofen 400 mg</v>
      </c>
      <c r="E84" s="2" t="str">
        <f aca="false">INDEX(Léky!$E$2:$E$11,MATCH(C84,Léky!$A$2:$A$11,0))</f>
        <v>Bolest</v>
      </c>
      <c r="F84" s="2" t="n">
        <v>2</v>
      </c>
      <c r="G84" s="5" t="n">
        <f aca="false">INDEX(Léky!$H$2:$H$11,MATCH(C84,Léky!$A$2:$A$11,0))</f>
        <v>65</v>
      </c>
      <c r="H84" s="5" t="n">
        <f aca="false">F84*G84</f>
        <v>130</v>
      </c>
    </row>
    <row r="85" customFormat="false" ht="15" hidden="false" customHeight="false" outlineLevel="0" collapsed="false">
      <c r="A85" s="11" t="n">
        <v>45689</v>
      </c>
      <c r="B85" s="2" t="s">
        <v>133</v>
      </c>
      <c r="C85" s="2" t="s">
        <v>48</v>
      </c>
      <c r="D85" s="2" t="str">
        <f aca="false">INDEX(Léky!$B$2:$B$11,MATCH(C85,Léky!$A$2:$A$11,0))</f>
        <v>Amlodipin 5 mg</v>
      </c>
      <c r="E85" s="2" t="str">
        <f aca="false">INDEX(Léky!$E$2:$E$11,MATCH(C85,Léky!$A$2:$A$11,0))</f>
        <v>Krevní tlak</v>
      </c>
      <c r="F85" s="2" t="n">
        <v>1</v>
      </c>
      <c r="G85" s="5" t="n">
        <f aca="false">INDEX(Léky!$H$2:$H$11,MATCH(C85,Léky!$A$2:$A$11,0))</f>
        <v>72</v>
      </c>
      <c r="H85" s="5" t="n">
        <f aca="false">F85*G85</f>
        <v>72</v>
      </c>
    </row>
    <row r="86" customFormat="false" ht="15" hidden="false" customHeight="false" outlineLevel="0" collapsed="false">
      <c r="A86" s="11" t="n">
        <v>45689</v>
      </c>
      <c r="B86" s="2" t="s">
        <v>134</v>
      </c>
      <c r="C86" s="2" t="s">
        <v>53</v>
      </c>
      <c r="D86" s="2" t="str">
        <f aca="false">INDEX(Léky!$B$2:$B$11,MATCH(C86,Léky!$A$2:$A$11,0))</f>
        <v>Ramipril 5 mg</v>
      </c>
      <c r="E86" s="2" t="str">
        <f aca="false">INDEX(Léky!$E$2:$E$11,MATCH(C86,Léky!$A$2:$A$11,0))</f>
        <v>Krevní tlak</v>
      </c>
      <c r="F86" s="2" t="n">
        <v>1</v>
      </c>
      <c r="G86" s="5" t="n">
        <f aca="false">INDEX(Léky!$H$2:$H$11,MATCH(C86,Léky!$A$2:$A$11,0))</f>
        <v>98</v>
      </c>
      <c r="H86" s="5" t="n">
        <f aca="false">F86*G86</f>
        <v>98</v>
      </c>
    </row>
    <row r="87" customFormat="false" ht="15" hidden="false" customHeight="false" outlineLevel="0" collapsed="false">
      <c r="A87" s="11" t="n">
        <v>45689</v>
      </c>
      <c r="B87" s="2" t="s">
        <v>136</v>
      </c>
      <c r="C87" s="2" t="s">
        <v>34</v>
      </c>
      <c r="D87" s="2" t="str">
        <f aca="false">INDEX(Léky!$B$2:$B$11,MATCH(C87,Léky!$A$2:$A$11,0))</f>
        <v>Metformin 500 mg</v>
      </c>
      <c r="E87" s="2" t="str">
        <f aca="false">INDEX(Léky!$E$2:$E$11,MATCH(C87,Léky!$A$2:$A$11,0))</f>
        <v>Diabetes</v>
      </c>
      <c r="F87" s="2" t="n">
        <v>2</v>
      </c>
      <c r="G87" s="5" t="n">
        <f aca="false">INDEX(Léky!$H$2:$H$11,MATCH(C87,Léky!$A$2:$A$11,0))</f>
        <v>89</v>
      </c>
      <c r="H87" s="5" t="n">
        <f aca="false">F87*G87</f>
        <v>178</v>
      </c>
    </row>
    <row r="88" customFormat="false" ht="15" hidden="false" customHeight="false" outlineLevel="0" collapsed="false">
      <c r="A88" s="11" t="n">
        <v>45689</v>
      </c>
      <c r="B88" s="2" t="s">
        <v>137</v>
      </c>
      <c r="C88" s="2" t="s">
        <v>70</v>
      </c>
      <c r="D88" s="2" t="str">
        <f aca="false">INDEX(Léky!$B$2:$B$11,MATCH(C88,Léky!$A$2:$A$11,0))</f>
        <v>Sertralin 50 mg</v>
      </c>
      <c r="E88" s="2" t="str">
        <f aca="false">INDEX(Léky!$E$2:$E$11,MATCH(C88,Léky!$A$2:$A$11,0))</f>
        <v>Psychiatrie</v>
      </c>
      <c r="F88" s="2" t="n">
        <v>1</v>
      </c>
      <c r="G88" s="5" t="n">
        <f aca="false">INDEX(Léky!$H$2:$H$11,MATCH(C88,Léky!$A$2:$A$11,0))</f>
        <v>210</v>
      </c>
      <c r="H88" s="5" t="n">
        <f aca="false">F88*G88</f>
        <v>210</v>
      </c>
    </row>
    <row r="89" customFormat="false" ht="15" hidden="false" customHeight="false" outlineLevel="0" collapsed="false">
      <c r="A89" s="11" t="n">
        <v>45689</v>
      </c>
      <c r="B89" s="2" t="s">
        <v>138</v>
      </c>
      <c r="C89" s="2" t="s">
        <v>48</v>
      </c>
      <c r="D89" s="2" t="str">
        <f aca="false">INDEX(Léky!$B$2:$B$11,MATCH(C89,Léky!$A$2:$A$11,0))</f>
        <v>Amlodipin 5 mg</v>
      </c>
      <c r="E89" s="2" t="str">
        <f aca="false">INDEX(Léky!$E$2:$E$11,MATCH(C89,Léky!$A$2:$A$11,0))</f>
        <v>Krevní tlak</v>
      </c>
      <c r="F89" s="2" t="n">
        <v>1</v>
      </c>
      <c r="G89" s="5" t="n">
        <f aca="false">INDEX(Léky!$H$2:$H$11,MATCH(C89,Léky!$A$2:$A$11,0))</f>
        <v>72</v>
      </c>
      <c r="H89" s="5" t="n">
        <f aca="false">F89*G89</f>
        <v>72</v>
      </c>
    </row>
    <row r="90" customFormat="false" ht="15" hidden="false" customHeight="false" outlineLevel="0" collapsed="false">
      <c r="A90" s="11" t="n">
        <v>45689</v>
      </c>
      <c r="B90" s="2" t="s">
        <v>138</v>
      </c>
      <c r="C90" s="2" t="s">
        <v>57</v>
      </c>
      <c r="D90" s="2" t="str">
        <f aca="false">INDEX(Léky!$B$2:$B$11,MATCH(C90,Léky!$A$2:$A$11,0))</f>
        <v>Levothyroxin 50 µg</v>
      </c>
      <c r="E90" s="2" t="str">
        <f aca="false">INDEX(Léky!$E$2:$E$11,MATCH(C90,Léky!$A$2:$A$11,0))</f>
        <v>Štítná žláza</v>
      </c>
      <c r="F90" s="2" t="n">
        <v>1</v>
      </c>
      <c r="G90" s="5" t="n">
        <f aca="false">INDEX(Léky!$H$2:$H$11,MATCH(C90,Léky!$A$2:$A$11,0))</f>
        <v>118</v>
      </c>
      <c r="H90" s="5" t="n">
        <f aca="false">F90*G90</f>
        <v>118</v>
      </c>
    </row>
    <row r="91" customFormat="false" ht="15" hidden="false" customHeight="false" outlineLevel="0" collapsed="false">
      <c r="A91" s="11" t="n">
        <v>45689</v>
      </c>
      <c r="B91" s="2" t="s">
        <v>138</v>
      </c>
      <c r="C91" s="2" t="s">
        <v>63</v>
      </c>
      <c r="D91" s="2" t="str">
        <f aca="false">INDEX(Léky!$B$2:$B$11,MATCH(C91,Léky!$A$2:$A$11,0))</f>
        <v>Omeprazol 20 mg</v>
      </c>
      <c r="E91" s="2" t="str">
        <f aca="false">INDEX(Léky!$E$2:$E$11,MATCH(C91,Léky!$A$2:$A$11,0))</f>
        <v>Trávení</v>
      </c>
      <c r="F91" s="2" t="n">
        <v>1</v>
      </c>
      <c r="G91" s="5" t="n">
        <f aca="false">INDEX(Léky!$H$2:$H$11,MATCH(C91,Léky!$A$2:$A$11,0))</f>
        <v>135</v>
      </c>
      <c r="H91" s="5" t="n">
        <f aca="false">F91*G91</f>
        <v>135</v>
      </c>
    </row>
    <row r="92" customFormat="false" ht="15" hidden="false" customHeight="false" outlineLevel="0" collapsed="false">
      <c r="A92" s="11" t="n">
        <v>45689</v>
      </c>
      <c r="B92" s="2" t="s">
        <v>138</v>
      </c>
      <c r="C92" s="2" t="s">
        <v>76</v>
      </c>
      <c r="D92" s="2" t="str">
        <f aca="false">INDEX(Léky!$B$2:$B$11,MATCH(C92,Léky!$A$2:$A$11,0))</f>
        <v>Salbutamol inhalátor</v>
      </c>
      <c r="E92" s="2" t="str">
        <f aca="false">INDEX(Léky!$E$2:$E$11,MATCH(C92,Léky!$A$2:$A$11,0))</f>
        <v>Dýchací cesty</v>
      </c>
      <c r="F92" s="2" t="n">
        <v>1</v>
      </c>
      <c r="G92" s="5" t="n">
        <f aca="false">INDEX(Léky!$H$2:$H$11,MATCH(C92,Léky!$A$2:$A$11,0))</f>
        <v>165</v>
      </c>
      <c r="H92" s="5" t="n">
        <f aca="false">F92*G92</f>
        <v>165</v>
      </c>
    </row>
    <row r="93" customFormat="false" ht="15" hidden="false" customHeight="false" outlineLevel="0" collapsed="false">
      <c r="A93" s="11" t="n">
        <v>45689</v>
      </c>
      <c r="B93" s="2" t="s">
        <v>138</v>
      </c>
      <c r="C93" s="2" t="s">
        <v>84</v>
      </c>
      <c r="D93" s="2" t="str">
        <f aca="false">INDEX(Léky!$B$2:$B$11,MATCH(C93,Léky!$A$2:$A$11,0))</f>
        <v>Amoxicilin 500 mg</v>
      </c>
      <c r="E93" s="2" t="str">
        <f aca="false">INDEX(Léky!$E$2:$E$11,MATCH(C93,Léky!$A$2:$A$11,0))</f>
        <v>Antibiotika</v>
      </c>
      <c r="F93" s="2" t="n">
        <v>1</v>
      </c>
      <c r="G93" s="5" t="n">
        <f aca="false">INDEX(Léky!$H$2:$H$11,MATCH(C93,Léky!$A$2:$A$11,0))</f>
        <v>120</v>
      </c>
      <c r="H93" s="5" t="n">
        <f aca="false">F93*G93</f>
        <v>120</v>
      </c>
    </row>
    <row r="94" customFormat="false" ht="15" hidden="false" customHeight="false" outlineLevel="0" collapsed="false">
      <c r="A94" s="11" t="n">
        <v>45689</v>
      </c>
      <c r="B94" s="2" t="s">
        <v>140</v>
      </c>
      <c r="C94" s="2" t="s">
        <v>48</v>
      </c>
      <c r="D94" s="2" t="str">
        <f aca="false">INDEX(Léky!$B$2:$B$11,MATCH(C94,Léky!$A$2:$A$11,0))</f>
        <v>Amlodipin 5 mg</v>
      </c>
      <c r="E94" s="2" t="str">
        <f aca="false">INDEX(Léky!$E$2:$E$11,MATCH(C94,Léky!$A$2:$A$11,0))</f>
        <v>Krevní tlak</v>
      </c>
      <c r="F94" s="2" t="n">
        <v>1</v>
      </c>
      <c r="G94" s="5" t="n">
        <f aca="false">INDEX(Léky!$H$2:$H$11,MATCH(C94,Léky!$A$2:$A$11,0))</f>
        <v>72</v>
      </c>
      <c r="H94" s="5" t="n">
        <f aca="false">F94*G94</f>
        <v>72</v>
      </c>
    </row>
    <row r="95" customFormat="false" ht="15" hidden="false" customHeight="false" outlineLevel="0" collapsed="false">
      <c r="A95" s="11" t="n">
        <v>45689</v>
      </c>
      <c r="B95" s="2" t="s">
        <v>140</v>
      </c>
      <c r="C95" s="2" t="s">
        <v>57</v>
      </c>
      <c r="D95" s="2" t="str">
        <f aca="false">INDEX(Léky!$B$2:$B$11,MATCH(C95,Léky!$A$2:$A$11,0))</f>
        <v>Levothyroxin 50 µg</v>
      </c>
      <c r="E95" s="2" t="str">
        <f aca="false">INDEX(Léky!$E$2:$E$11,MATCH(C95,Léky!$A$2:$A$11,0))</f>
        <v>Štítná žláza</v>
      </c>
      <c r="F95" s="2" t="n">
        <v>1</v>
      </c>
      <c r="G95" s="5" t="n">
        <f aca="false">INDEX(Léky!$H$2:$H$11,MATCH(C95,Léky!$A$2:$A$11,0))</f>
        <v>118</v>
      </c>
      <c r="H95" s="5" t="n">
        <f aca="false">F95*G95</f>
        <v>118</v>
      </c>
    </row>
    <row r="96" customFormat="false" ht="15" hidden="false" customHeight="false" outlineLevel="0" collapsed="false">
      <c r="A96" s="11" t="n">
        <v>45689</v>
      </c>
      <c r="B96" s="2" t="s">
        <v>140</v>
      </c>
      <c r="C96" s="2" t="s">
        <v>84</v>
      </c>
      <c r="D96" s="2" t="str">
        <f aca="false">INDEX(Léky!$B$2:$B$11,MATCH(C96,Léky!$A$2:$A$11,0))</f>
        <v>Amoxicilin 500 mg</v>
      </c>
      <c r="E96" s="2" t="str">
        <f aca="false">INDEX(Léky!$E$2:$E$11,MATCH(C96,Léky!$A$2:$A$11,0))</f>
        <v>Antibiotika</v>
      </c>
      <c r="F96" s="2" t="n">
        <v>1</v>
      </c>
      <c r="G96" s="5" t="n">
        <f aca="false">INDEX(Léky!$H$2:$H$11,MATCH(C96,Léky!$A$2:$A$11,0))</f>
        <v>120</v>
      </c>
      <c r="H96" s="5" t="n">
        <f aca="false">F96*G96</f>
        <v>120</v>
      </c>
    </row>
    <row r="97" customFormat="false" ht="15" hidden="false" customHeight="false" outlineLevel="0" collapsed="false">
      <c r="A97" s="11" t="n">
        <v>45689</v>
      </c>
      <c r="B97" s="2" t="s">
        <v>141</v>
      </c>
      <c r="C97" s="2" t="s">
        <v>53</v>
      </c>
      <c r="D97" s="2" t="str">
        <f aca="false">INDEX(Léky!$B$2:$B$11,MATCH(C97,Léky!$A$2:$A$11,0))</f>
        <v>Ramipril 5 mg</v>
      </c>
      <c r="E97" s="2" t="str">
        <f aca="false">INDEX(Léky!$E$2:$E$11,MATCH(C97,Léky!$A$2:$A$11,0))</f>
        <v>Krevní tlak</v>
      </c>
      <c r="F97" s="2" t="n">
        <v>1</v>
      </c>
      <c r="G97" s="5" t="n">
        <f aca="false">INDEX(Léky!$H$2:$H$11,MATCH(C97,Léky!$A$2:$A$11,0))</f>
        <v>98</v>
      </c>
      <c r="H97" s="5" t="n">
        <f aca="false">F97*G97</f>
        <v>98</v>
      </c>
    </row>
    <row r="98" customFormat="false" ht="15" hidden="false" customHeight="false" outlineLevel="0" collapsed="false">
      <c r="A98" s="11" t="n">
        <v>45689</v>
      </c>
      <c r="B98" s="2" t="s">
        <v>142</v>
      </c>
      <c r="C98" s="2" t="s">
        <v>48</v>
      </c>
      <c r="D98" s="2" t="str">
        <f aca="false">INDEX(Léky!$B$2:$B$11,MATCH(C98,Léky!$A$2:$A$11,0))</f>
        <v>Amlodipin 5 mg</v>
      </c>
      <c r="E98" s="2" t="str">
        <f aca="false">INDEX(Léky!$E$2:$E$11,MATCH(C98,Léky!$A$2:$A$11,0))</f>
        <v>Krevní tlak</v>
      </c>
      <c r="F98" s="2" t="n">
        <v>1</v>
      </c>
      <c r="G98" s="5" t="n">
        <f aca="false">INDEX(Léky!$H$2:$H$11,MATCH(C98,Léky!$A$2:$A$11,0))</f>
        <v>72</v>
      </c>
      <c r="H98" s="5" t="n">
        <f aca="false">F98*G98</f>
        <v>72</v>
      </c>
    </row>
    <row r="99" customFormat="false" ht="15" hidden="false" customHeight="false" outlineLevel="0" collapsed="false">
      <c r="A99" s="11" t="n">
        <v>45689</v>
      </c>
      <c r="B99" s="2" t="s">
        <v>142</v>
      </c>
      <c r="C99" s="2" t="s">
        <v>91</v>
      </c>
      <c r="D99" s="2" t="str">
        <f aca="false">INDEX(Léky!$B$2:$B$11,MATCH(C99,Léky!$A$2:$A$11,0))</f>
        <v>Ibuprofen 400 mg</v>
      </c>
      <c r="E99" s="2" t="str">
        <f aca="false">INDEX(Léky!$E$2:$E$11,MATCH(C99,Léky!$A$2:$A$11,0))</f>
        <v>Bolest</v>
      </c>
      <c r="F99" s="2" t="n">
        <v>1</v>
      </c>
      <c r="G99" s="5" t="n">
        <f aca="false">INDEX(Léky!$H$2:$H$11,MATCH(C99,Léky!$A$2:$A$11,0))</f>
        <v>65</v>
      </c>
      <c r="H99" s="5" t="n">
        <f aca="false">F99*G99</f>
        <v>65</v>
      </c>
    </row>
    <row r="100" customFormat="false" ht="15" hidden="false" customHeight="false" outlineLevel="0" collapsed="false">
      <c r="A100" s="11" t="n">
        <v>45689</v>
      </c>
      <c r="B100" s="2" t="s">
        <v>144</v>
      </c>
      <c r="C100" s="2" t="s">
        <v>63</v>
      </c>
      <c r="D100" s="2" t="str">
        <f aca="false">INDEX(Léky!$B$2:$B$11,MATCH(C100,Léky!$A$2:$A$11,0))</f>
        <v>Omeprazol 20 mg</v>
      </c>
      <c r="E100" s="2" t="str">
        <f aca="false">INDEX(Léky!$E$2:$E$11,MATCH(C100,Léky!$A$2:$A$11,0))</f>
        <v>Trávení</v>
      </c>
      <c r="F100" s="2" t="n">
        <v>1</v>
      </c>
      <c r="G100" s="5" t="n">
        <f aca="false">INDEX(Léky!$H$2:$H$11,MATCH(C100,Léky!$A$2:$A$11,0))</f>
        <v>135</v>
      </c>
      <c r="H100" s="5" t="n">
        <f aca="false">F100*G100</f>
        <v>135</v>
      </c>
    </row>
    <row r="101" customFormat="false" ht="15" hidden="false" customHeight="false" outlineLevel="0" collapsed="false">
      <c r="A101" s="11" t="n">
        <v>45689</v>
      </c>
      <c r="B101" s="2" t="s">
        <v>151</v>
      </c>
      <c r="C101" s="2" t="s">
        <v>63</v>
      </c>
      <c r="D101" s="2" t="str">
        <f aca="false">INDEX(Léky!$B$2:$B$11,MATCH(C101,Léky!$A$2:$A$11,0))</f>
        <v>Omeprazol 20 mg</v>
      </c>
      <c r="E101" s="2" t="str">
        <f aca="false">INDEX(Léky!$E$2:$E$11,MATCH(C101,Léky!$A$2:$A$11,0))</f>
        <v>Trávení</v>
      </c>
      <c r="F101" s="2" t="n">
        <v>1</v>
      </c>
      <c r="G101" s="5" t="n">
        <f aca="false">INDEX(Léky!$H$2:$H$11,MATCH(C101,Léky!$A$2:$A$11,0))</f>
        <v>135</v>
      </c>
      <c r="H101" s="5" t="n">
        <f aca="false">F101*G101</f>
        <v>135</v>
      </c>
    </row>
    <row r="102" customFormat="false" ht="15" hidden="false" customHeight="false" outlineLevel="0" collapsed="false">
      <c r="A102" s="11" t="n">
        <v>45689</v>
      </c>
      <c r="B102" s="2" t="s">
        <v>152</v>
      </c>
      <c r="C102" s="2" t="s">
        <v>53</v>
      </c>
      <c r="D102" s="2" t="str">
        <f aca="false">INDEX(Léky!$B$2:$B$11,MATCH(C102,Léky!$A$2:$A$11,0))</f>
        <v>Ramipril 5 mg</v>
      </c>
      <c r="E102" s="2" t="str">
        <f aca="false">INDEX(Léky!$E$2:$E$11,MATCH(C102,Léky!$A$2:$A$11,0))</f>
        <v>Krevní tlak</v>
      </c>
      <c r="F102" s="2" t="n">
        <v>1</v>
      </c>
      <c r="G102" s="5" t="n">
        <f aca="false">INDEX(Léky!$H$2:$H$11,MATCH(C102,Léky!$A$2:$A$11,0))</f>
        <v>98</v>
      </c>
      <c r="H102" s="5" t="n">
        <f aca="false">F102*G102</f>
        <v>98</v>
      </c>
    </row>
    <row r="103" customFormat="false" ht="15" hidden="false" customHeight="false" outlineLevel="0" collapsed="false">
      <c r="A103" s="11" t="n">
        <v>45689</v>
      </c>
      <c r="B103" s="2" t="s">
        <v>154</v>
      </c>
      <c r="C103" s="2" t="s">
        <v>48</v>
      </c>
      <c r="D103" s="2" t="str">
        <f aca="false">INDEX(Léky!$B$2:$B$11,MATCH(C103,Léky!$A$2:$A$11,0))</f>
        <v>Amlodipin 5 mg</v>
      </c>
      <c r="E103" s="2" t="str">
        <f aca="false">INDEX(Léky!$E$2:$E$11,MATCH(C103,Léky!$A$2:$A$11,0))</f>
        <v>Krevní tlak</v>
      </c>
      <c r="F103" s="2" t="n">
        <v>1</v>
      </c>
      <c r="G103" s="5" t="n">
        <f aca="false">INDEX(Léky!$H$2:$H$11,MATCH(C103,Léky!$A$2:$A$11,0))</f>
        <v>72</v>
      </c>
      <c r="H103" s="5" t="n">
        <f aca="false">F103*G103</f>
        <v>72</v>
      </c>
    </row>
    <row r="104" customFormat="false" ht="15" hidden="false" customHeight="false" outlineLevel="0" collapsed="false">
      <c r="A104" s="11" t="n">
        <v>45689</v>
      </c>
      <c r="B104" s="2" t="s">
        <v>155</v>
      </c>
      <c r="C104" s="2" t="s">
        <v>42</v>
      </c>
      <c r="D104" s="2" t="str">
        <f aca="false">INDEX(Léky!$B$2:$B$11,MATCH(C104,Léky!$A$2:$A$11,0))</f>
        <v>Atorvastatin 20 mg</v>
      </c>
      <c r="E104" s="2" t="str">
        <f aca="false">INDEX(Léky!$E$2:$E$11,MATCH(C104,Léky!$A$2:$A$11,0))</f>
        <v>Cholesterol</v>
      </c>
      <c r="F104" s="2" t="n">
        <v>1</v>
      </c>
      <c r="G104" s="5" t="n">
        <f aca="false">INDEX(Léky!$H$2:$H$11,MATCH(C104,Léky!$A$2:$A$11,0))</f>
        <v>145</v>
      </c>
      <c r="H104" s="5" t="n">
        <f aca="false">F104*G104</f>
        <v>145</v>
      </c>
    </row>
    <row r="105" customFormat="false" ht="15" hidden="false" customHeight="false" outlineLevel="0" collapsed="false">
      <c r="A105" s="11" t="n">
        <v>45689</v>
      </c>
      <c r="B105" s="2" t="s">
        <v>155</v>
      </c>
      <c r="C105" s="2" t="s">
        <v>48</v>
      </c>
      <c r="D105" s="2" t="str">
        <f aca="false">INDEX(Léky!$B$2:$B$11,MATCH(C105,Léky!$A$2:$A$11,0))</f>
        <v>Amlodipin 5 mg</v>
      </c>
      <c r="E105" s="2" t="str">
        <f aca="false">INDEX(Léky!$E$2:$E$11,MATCH(C105,Léky!$A$2:$A$11,0))</f>
        <v>Krevní tlak</v>
      </c>
      <c r="F105" s="2" t="n">
        <v>1</v>
      </c>
      <c r="G105" s="5" t="n">
        <f aca="false">INDEX(Léky!$H$2:$H$11,MATCH(C105,Léky!$A$2:$A$11,0))</f>
        <v>72</v>
      </c>
      <c r="H105" s="5" t="n">
        <f aca="false">F105*G105</f>
        <v>72</v>
      </c>
    </row>
    <row r="106" customFormat="false" ht="15" hidden="false" customHeight="false" outlineLevel="0" collapsed="false">
      <c r="A106" s="11" t="n">
        <v>45689</v>
      </c>
      <c r="B106" s="2" t="s">
        <v>155</v>
      </c>
      <c r="C106" s="2" t="s">
        <v>84</v>
      </c>
      <c r="D106" s="2" t="str">
        <f aca="false">INDEX(Léky!$B$2:$B$11,MATCH(C106,Léky!$A$2:$A$11,0))</f>
        <v>Amoxicilin 500 mg</v>
      </c>
      <c r="E106" s="2" t="str">
        <f aca="false">INDEX(Léky!$E$2:$E$11,MATCH(C106,Léky!$A$2:$A$11,0))</f>
        <v>Antibiotika</v>
      </c>
      <c r="F106" s="2" t="n">
        <v>1</v>
      </c>
      <c r="G106" s="5" t="n">
        <f aca="false">INDEX(Léky!$H$2:$H$11,MATCH(C106,Léky!$A$2:$A$11,0))</f>
        <v>120</v>
      </c>
      <c r="H106" s="5" t="n">
        <f aca="false">F106*G106</f>
        <v>120</v>
      </c>
    </row>
    <row r="107" customFormat="false" ht="15" hidden="false" customHeight="false" outlineLevel="0" collapsed="false">
      <c r="A107" s="11" t="n">
        <v>45689</v>
      </c>
      <c r="B107" s="2" t="s">
        <v>156</v>
      </c>
      <c r="C107" s="2" t="s">
        <v>42</v>
      </c>
      <c r="D107" s="2" t="str">
        <f aca="false">INDEX(Léky!$B$2:$B$11,MATCH(C107,Léky!$A$2:$A$11,0))</f>
        <v>Atorvastatin 20 mg</v>
      </c>
      <c r="E107" s="2" t="str">
        <f aca="false">INDEX(Léky!$E$2:$E$11,MATCH(C107,Léky!$A$2:$A$11,0))</f>
        <v>Cholesterol</v>
      </c>
      <c r="F107" s="2" t="n">
        <v>1</v>
      </c>
      <c r="G107" s="5" t="n">
        <f aca="false">INDEX(Léky!$H$2:$H$11,MATCH(C107,Léky!$A$2:$A$11,0))</f>
        <v>145</v>
      </c>
      <c r="H107" s="5" t="n">
        <f aca="false">F107*G107</f>
        <v>145</v>
      </c>
    </row>
    <row r="108" customFormat="false" ht="15" hidden="false" customHeight="false" outlineLevel="0" collapsed="false">
      <c r="A108" s="11" t="n">
        <v>45689</v>
      </c>
      <c r="B108" s="2" t="s">
        <v>156</v>
      </c>
      <c r="C108" s="2" t="s">
        <v>53</v>
      </c>
      <c r="D108" s="2" t="str">
        <f aca="false">INDEX(Léky!$B$2:$B$11,MATCH(C108,Léky!$A$2:$A$11,0))</f>
        <v>Ramipril 5 mg</v>
      </c>
      <c r="E108" s="2" t="str">
        <f aca="false">INDEX(Léky!$E$2:$E$11,MATCH(C108,Léky!$A$2:$A$11,0))</f>
        <v>Krevní tlak</v>
      </c>
      <c r="F108" s="2" t="n">
        <v>1</v>
      </c>
      <c r="G108" s="5" t="n">
        <f aca="false">INDEX(Léky!$H$2:$H$11,MATCH(C108,Léky!$A$2:$A$11,0))</f>
        <v>98</v>
      </c>
      <c r="H108" s="5" t="n">
        <f aca="false">F108*G108</f>
        <v>98</v>
      </c>
    </row>
    <row r="109" customFormat="false" ht="15" hidden="false" customHeight="false" outlineLevel="0" collapsed="false">
      <c r="A109" s="11" t="n">
        <v>45689</v>
      </c>
      <c r="B109" s="2" t="s">
        <v>156</v>
      </c>
      <c r="C109" s="2" t="s">
        <v>63</v>
      </c>
      <c r="D109" s="2" t="str">
        <f aca="false">INDEX(Léky!$B$2:$B$11,MATCH(C109,Léky!$A$2:$A$11,0))</f>
        <v>Omeprazol 20 mg</v>
      </c>
      <c r="E109" s="2" t="str">
        <f aca="false">INDEX(Léky!$E$2:$E$11,MATCH(C109,Léky!$A$2:$A$11,0))</f>
        <v>Trávení</v>
      </c>
      <c r="F109" s="2" t="n">
        <v>1</v>
      </c>
      <c r="G109" s="5" t="n">
        <f aca="false">INDEX(Léky!$H$2:$H$11,MATCH(C109,Léky!$A$2:$A$11,0))</f>
        <v>135</v>
      </c>
      <c r="H109" s="5" t="n">
        <f aca="false">F109*G109</f>
        <v>135</v>
      </c>
    </row>
    <row r="110" customFormat="false" ht="15" hidden="false" customHeight="false" outlineLevel="0" collapsed="false">
      <c r="A110" s="11" t="n">
        <v>45689</v>
      </c>
      <c r="B110" s="2" t="s">
        <v>158</v>
      </c>
      <c r="C110" s="2" t="s">
        <v>91</v>
      </c>
      <c r="D110" s="2" t="str">
        <f aca="false">INDEX(Léky!$B$2:$B$11,MATCH(C110,Léky!$A$2:$A$11,0))</f>
        <v>Ibuprofen 400 mg</v>
      </c>
      <c r="E110" s="2" t="str">
        <f aca="false">INDEX(Léky!$E$2:$E$11,MATCH(C110,Léky!$A$2:$A$11,0))</f>
        <v>Bolest</v>
      </c>
      <c r="F110" s="2" t="n">
        <v>1</v>
      </c>
      <c r="G110" s="5" t="n">
        <f aca="false">INDEX(Léky!$H$2:$H$11,MATCH(C110,Léky!$A$2:$A$11,0))</f>
        <v>65</v>
      </c>
      <c r="H110" s="5" t="n">
        <f aca="false">F110*G110</f>
        <v>65</v>
      </c>
    </row>
    <row r="111" customFormat="false" ht="15" hidden="false" customHeight="false" outlineLevel="0" collapsed="false">
      <c r="A111" s="11" t="n">
        <v>45689</v>
      </c>
      <c r="B111" s="2" t="s">
        <v>159</v>
      </c>
      <c r="C111" s="2" t="s">
        <v>57</v>
      </c>
      <c r="D111" s="2" t="str">
        <f aca="false">INDEX(Léky!$B$2:$B$11,MATCH(C111,Léky!$A$2:$A$11,0))</f>
        <v>Levothyroxin 50 µg</v>
      </c>
      <c r="E111" s="2" t="str">
        <f aca="false">INDEX(Léky!$E$2:$E$11,MATCH(C111,Léky!$A$2:$A$11,0))</f>
        <v>Štítná žláza</v>
      </c>
      <c r="F111" s="2" t="n">
        <v>1</v>
      </c>
      <c r="G111" s="5" t="n">
        <f aca="false">INDEX(Léky!$H$2:$H$11,MATCH(C111,Léky!$A$2:$A$11,0))</f>
        <v>118</v>
      </c>
      <c r="H111" s="5" t="n">
        <f aca="false">F111*G111</f>
        <v>118</v>
      </c>
    </row>
    <row r="112" customFormat="false" ht="15" hidden="false" customHeight="false" outlineLevel="0" collapsed="false">
      <c r="A112" s="11" t="n">
        <v>45689</v>
      </c>
      <c r="B112" s="2" t="s">
        <v>160</v>
      </c>
      <c r="C112" s="2" t="s">
        <v>57</v>
      </c>
      <c r="D112" s="2" t="str">
        <f aca="false">INDEX(Léky!$B$2:$B$11,MATCH(C112,Léky!$A$2:$A$11,0))</f>
        <v>Levothyroxin 50 µg</v>
      </c>
      <c r="E112" s="2" t="str">
        <f aca="false">INDEX(Léky!$E$2:$E$11,MATCH(C112,Léky!$A$2:$A$11,0))</f>
        <v>Štítná žláza</v>
      </c>
      <c r="F112" s="2" t="n">
        <v>1</v>
      </c>
      <c r="G112" s="5" t="n">
        <f aca="false">INDEX(Léky!$H$2:$H$11,MATCH(C112,Léky!$A$2:$A$11,0))</f>
        <v>118</v>
      </c>
      <c r="H112" s="5" t="n">
        <f aca="false">F112*G112</f>
        <v>118</v>
      </c>
    </row>
    <row r="113" customFormat="false" ht="15" hidden="false" customHeight="false" outlineLevel="0" collapsed="false">
      <c r="A113" s="11" t="n">
        <v>45689</v>
      </c>
      <c r="B113" s="2" t="s">
        <v>161</v>
      </c>
      <c r="C113" s="2" t="s">
        <v>34</v>
      </c>
      <c r="D113" s="2" t="str">
        <f aca="false">INDEX(Léky!$B$2:$B$11,MATCH(C113,Léky!$A$2:$A$11,0))</f>
        <v>Metformin 500 mg</v>
      </c>
      <c r="E113" s="2" t="str">
        <f aca="false">INDEX(Léky!$E$2:$E$11,MATCH(C113,Léky!$A$2:$A$11,0))</f>
        <v>Diabetes</v>
      </c>
      <c r="F113" s="2" t="n">
        <v>2</v>
      </c>
      <c r="G113" s="5" t="n">
        <f aca="false">INDEX(Léky!$H$2:$H$11,MATCH(C113,Léky!$A$2:$A$11,0))</f>
        <v>89</v>
      </c>
      <c r="H113" s="5" t="n">
        <f aca="false">F113*G113</f>
        <v>178</v>
      </c>
    </row>
    <row r="114" customFormat="false" ht="15" hidden="false" customHeight="false" outlineLevel="0" collapsed="false">
      <c r="A114" s="11" t="n">
        <v>45689</v>
      </c>
      <c r="B114" s="2" t="s">
        <v>161</v>
      </c>
      <c r="C114" s="2" t="s">
        <v>53</v>
      </c>
      <c r="D114" s="2" t="str">
        <f aca="false">INDEX(Léky!$B$2:$B$11,MATCH(C114,Léky!$A$2:$A$11,0))</f>
        <v>Ramipril 5 mg</v>
      </c>
      <c r="E114" s="2" t="str">
        <f aca="false">INDEX(Léky!$E$2:$E$11,MATCH(C114,Léky!$A$2:$A$11,0))</f>
        <v>Krevní tlak</v>
      </c>
      <c r="F114" s="2" t="n">
        <v>1</v>
      </c>
      <c r="G114" s="5" t="n">
        <f aca="false">INDEX(Léky!$H$2:$H$11,MATCH(C114,Léky!$A$2:$A$11,0))</f>
        <v>98</v>
      </c>
      <c r="H114" s="5" t="n">
        <f aca="false">F114*G114</f>
        <v>98</v>
      </c>
    </row>
    <row r="115" customFormat="false" ht="15" hidden="false" customHeight="false" outlineLevel="0" collapsed="false">
      <c r="A115" s="11" t="n">
        <v>45689</v>
      </c>
      <c r="B115" s="2" t="s">
        <v>161</v>
      </c>
      <c r="C115" s="2" t="s">
        <v>57</v>
      </c>
      <c r="D115" s="2" t="str">
        <f aca="false">INDEX(Léky!$B$2:$B$11,MATCH(C115,Léky!$A$2:$A$11,0))</f>
        <v>Levothyroxin 50 µg</v>
      </c>
      <c r="E115" s="2" t="str">
        <f aca="false">INDEX(Léky!$E$2:$E$11,MATCH(C115,Léky!$A$2:$A$11,0))</f>
        <v>Štítná žláza</v>
      </c>
      <c r="F115" s="2" t="n">
        <v>1</v>
      </c>
      <c r="G115" s="5" t="n">
        <f aca="false">INDEX(Léky!$H$2:$H$11,MATCH(C115,Léky!$A$2:$A$11,0))</f>
        <v>118</v>
      </c>
      <c r="H115" s="5" t="n">
        <f aca="false">F115*G115</f>
        <v>118</v>
      </c>
    </row>
    <row r="116" customFormat="false" ht="15" hidden="false" customHeight="false" outlineLevel="0" collapsed="false">
      <c r="A116" s="11" t="n">
        <v>45689</v>
      </c>
      <c r="B116" s="2" t="s">
        <v>161</v>
      </c>
      <c r="C116" s="2" t="s">
        <v>91</v>
      </c>
      <c r="D116" s="2" t="str">
        <f aca="false">INDEX(Léky!$B$2:$B$11,MATCH(C116,Léky!$A$2:$A$11,0))</f>
        <v>Ibuprofen 400 mg</v>
      </c>
      <c r="E116" s="2" t="str">
        <f aca="false">INDEX(Léky!$E$2:$E$11,MATCH(C116,Léky!$A$2:$A$11,0))</f>
        <v>Bolest</v>
      </c>
      <c r="F116" s="2" t="n">
        <v>2</v>
      </c>
      <c r="G116" s="5" t="n">
        <f aca="false">INDEX(Léky!$H$2:$H$11,MATCH(C116,Léky!$A$2:$A$11,0))</f>
        <v>65</v>
      </c>
      <c r="H116" s="5" t="n">
        <f aca="false">F116*G116</f>
        <v>130</v>
      </c>
    </row>
    <row r="117" customFormat="false" ht="15" hidden="false" customHeight="false" outlineLevel="0" collapsed="false">
      <c r="A117" s="11" t="n">
        <v>45689</v>
      </c>
      <c r="B117" s="2" t="s">
        <v>162</v>
      </c>
      <c r="C117" s="2" t="s">
        <v>42</v>
      </c>
      <c r="D117" s="2" t="str">
        <f aca="false">INDEX(Léky!$B$2:$B$11,MATCH(C117,Léky!$A$2:$A$11,0))</f>
        <v>Atorvastatin 20 mg</v>
      </c>
      <c r="E117" s="2" t="str">
        <f aca="false">INDEX(Léky!$E$2:$E$11,MATCH(C117,Léky!$A$2:$A$11,0))</f>
        <v>Cholesterol</v>
      </c>
      <c r="F117" s="2" t="n">
        <v>1</v>
      </c>
      <c r="G117" s="5" t="n">
        <f aca="false">INDEX(Léky!$H$2:$H$11,MATCH(C117,Léky!$A$2:$A$11,0))</f>
        <v>145</v>
      </c>
      <c r="H117" s="5" t="n">
        <f aca="false">F117*G117</f>
        <v>145</v>
      </c>
    </row>
    <row r="118" customFormat="false" ht="15" hidden="false" customHeight="false" outlineLevel="0" collapsed="false">
      <c r="A118" s="11" t="n">
        <v>45689</v>
      </c>
      <c r="B118" s="2" t="s">
        <v>164</v>
      </c>
      <c r="C118" s="2" t="s">
        <v>91</v>
      </c>
      <c r="D118" s="2" t="str">
        <f aca="false">INDEX(Léky!$B$2:$B$11,MATCH(C118,Léky!$A$2:$A$11,0))</f>
        <v>Ibuprofen 400 mg</v>
      </c>
      <c r="E118" s="2" t="str">
        <f aca="false">INDEX(Léky!$E$2:$E$11,MATCH(C118,Léky!$A$2:$A$11,0))</f>
        <v>Bolest</v>
      </c>
      <c r="F118" s="2" t="n">
        <v>1</v>
      </c>
      <c r="G118" s="5" t="n">
        <f aca="false">INDEX(Léky!$H$2:$H$11,MATCH(C118,Léky!$A$2:$A$11,0))</f>
        <v>65</v>
      </c>
      <c r="H118" s="5" t="n">
        <f aca="false">F118*G118</f>
        <v>65</v>
      </c>
    </row>
    <row r="119" customFormat="false" ht="15" hidden="false" customHeight="false" outlineLevel="0" collapsed="false">
      <c r="A119" s="11" t="n">
        <v>45689</v>
      </c>
      <c r="B119" s="2" t="s">
        <v>166</v>
      </c>
      <c r="C119" s="2" t="s">
        <v>57</v>
      </c>
      <c r="D119" s="2" t="str">
        <f aca="false">INDEX(Léky!$B$2:$B$11,MATCH(C119,Léky!$A$2:$A$11,0))</f>
        <v>Levothyroxin 50 µg</v>
      </c>
      <c r="E119" s="2" t="str">
        <f aca="false">INDEX(Léky!$E$2:$E$11,MATCH(C119,Léky!$A$2:$A$11,0))</f>
        <v>Štítná žláza</v>
      </c>
      <c r="F119" s="2" t="n">
        <v>1</v>
      </c>
      <c r="G119" s="5" t="n">
        <f aca="false">INDEX(Léky!$H$2:$H$11,MATCH(C119,Léky!$A$2:$A$11,0))</f>
        <v>118</v>
      </c>
      <c r="H119" s="5" t="n">
        <f aca="false">F119*G119</f>
        <v>118</v>
      </c>
    </row>
    <row r="120" customFormat="false" ht="15" hidden="false" customHeight="false" outlineLevel="0" collapsed="false">
      <c r="A120" s="11" t="n">
        <v>45689</v>
      </c>
      <c r="B120" s="2" t="s">
        <v>167</v>
      </c>
      <c r="C120" s="2" t="s">
        <v>53</v>
      </c>
      <c r="D120" s="2" t="str">
        <f aca="false">INDEX(Léky!$B$2:$B$11,MATCH(C120,Léky!$A$2:$A$11,0))</f>
        <v>Ramipril 5 mg</v>
      </c>
      <c r="E120" s="2" t="str">
        <f aca="false">INDEX(Léky!$E$2:$E$11,MATCH(C120,Léky!$A$2:$A$11,0))</f>
        <v>Krevní tlak</v>
      </c>
      <c r="F120" s="2" t="n">
        <v>1</v>
      </c>
      <c r="G120" s="5" t="n">
        <f aca="false">INDEX(Léky!$H$2:$H$11,MATCH(C120,Léky!$A$2:$A$11,0))</f>
        <v>98</v>
      </c>
      <c r="H120" s="5" t="n">
        <f aca="false">F120*G120</f>
        <v>98</v>
      </c>
    </row>
    <row r="121" customFormat="false" ht="15" hidden="false" customHeight="false" outlineLevel="0" collapsed="false">
      <c r="A121" s="11" t="n">
        <v>45689</v>
      </c>
      <c r="B121" s="2" t="s">
        <v>168</v>
      </c>
      <c r="C121" s="2" t="s">
        <v>34</v>
      </c>
      <c r="D121" s="2" t="str">
        <f aca="false">INDEX(Léky!$B$2:$B$11,MATCH(C121,Léky!$A$2:$A$11,0))</f>
        <v>Metformin 500 mg</v>
      </c>
      <c r="E121" s="2" t="str">
        <f aca="false">INDEX(Léky!$E$2:$E$11,MATCH(C121,Léky!$A$2:$A$11,0))</f>
        <v>Diabetes</v>
      </c>
      <c r="F121" s="2" t="n">
        <v>1</v>
      </c>
      <c r="G121" s="5" t="n">
        <f aca="false">INDEX(Léky!$H$2:$H$11,MATCH(C121,Léky!$A$2:$A$11,0))</f>
        <v>89</v>
      </c>
      <c r="H121" s="5" t="n">
        <f aca="false">F121*G121</f>
        <v>89</v>
      </c>
    </row>
    <row r="122" customFormat="false" ht="15" hidden="false" customHeight="false" outlineLevel="0" collapsed="false">
      <c r="A122" s="11" t="n">
        <v>45689</v>
      </c>
      <c r="B122" s="2" t="s">
        <v>169</v>
      </c>
      <c r="C122" s="2" t="s">
        <v>63</v>
      </c>
      <c r="D122" s="2" t="str">
        <f aca="false">INDEX(Léky!$B$2:$B$11,MATCH(C122,Léky!$A$2:$A$11,0))</f>
        <v>Omeprazol 20 mg</v>
      </c>
      <c r="E122" s="2" t="str">
        <f aca="false">INDEX(Léky!$E$2:$E$11,MATCH(C122,Léky!$A$2:$A$11,0))</f>
        <v>Trávení</v>
      </c>
      <c r="F122" s="2" t="n">
        <v>1</v>
      </c>
      <c r="G122" s="5" t="n">
        <f aca="false">INDEX(Léky!$H$2:$H$11,MATCH(C122,Léky!$A$2:$A$11,0))</f>
        <v>135</v>
      </c>
      <c r="H122" s="5" t="n">
        <f aca="false">F122*G122</f>
        <v>135</v>
      </c>
    </row>
    <row r="123" customFormat="false" ht="15" hidden="false" customHeight="false" outlineLevel="0" collapsed="false">
      <c r="A123" s="11" t="n">
        <v>45689</v>
      </c>
      <c r="B123" s="2" t="s">
        <v>169</v>
      </c>
      <c r="C123" s="2" t="s">
        <v>76</v>
      </c>
      <c r="D123" s="2" t="str">
        <f aca="false">INDEX(Léky!$B$2:$B$11,MATCH(C123,Léky!$A$2:$A$11,0))</f>
        <v>Salbutamol inhalátor</v>
      </c>
      <c r="E123" s="2" t="str">
        <f aca="false">INDEX(Léky!$E$2:$E$11,MATCH(C123,Léky!$A$2:$A$11,0))</f>
        <v>Dýchací cesty</v>
      </c>
      <c r="F123" s="2" t="n">
        <v>1</v>
      </c>
      <c r="G123" s="5" t="n">
        <f aca="false">INDEX(Léky!$H$2:$H$11,MATCH(C123,Léky!$A$2:$A$11,0))</f>
        <v>165</v>
      </c>
      <c r="H123" s="5" t="n">
        <f aca="false">F123*G123</f>
        <v>165</v>
      </c>
    </row>
    <row r="124" customFormat="false" ht="15" hidden="false" customHeight="false" outlineLevel="0" collapsed="false">
      <c r="A124" s="11" t="n">
        <v>45689</v>
      </c>
      <c r="B124" s="2" t="s">
        <v>170</v>
      </c>
      <c r="C124" s="2" t="s">
        <v>63</v>
      </c>
      <c r="D124" s="2" t="str">
        <f aca="false">INDEX(Léky!$B$2:$B$11,MATCH(C124,Léky!$A$2:$A$11,0))</f>
        <v>Omeprazol 20 mg</v>
      </c>
      <c r="E124" s="2" t="str">
        <f aca="false">INDEX(Léky!$E$2:$E$11,MATCH(C124,Léky!$A$2:$A$11,0))</f>
        <v>Trávení</v>
      </c>
      <c r="F124" s="2" t="n">
        <v>1</v>
      </c>
      <c r="G124" s="5" t="n">
        <f aca="false">INDEX(Léky!$H$2:$H$11,MATCH(C124,Léky!$A$2:$A$11,0))</f>
        <v>135</v>
      </c>
      <c r="H124" s="5" t="n">
        <f aca="false">F124*G124</f>
        <v>135</v>
      </c>
    </row>
    <row r="125" customFormat="false" ht="15" hidden="false" customHeight="false" outlineLevel="0" collapsed="false">
      <c r="A125" s="11" t="n">
        <v>45689</v>
      </c>
      <c r="B125" s="2" t="s">
        <v>170</v>
      </c>
      <c r="C125" s="2" t="s">
        <v>84</v>
      </c>
      <c r="D125" s="2" t="str">
        <f aca="false">INDEX(Léky!$B$2:$B$11,MATCH(C125,Léky!$A$2:$A$11,0))</f>
        <v>Amoxicilin 500 mg</v>
      </c>
      <c r="E125" s="2" t="str">
        <f aca="false">INDEX(Léky!$E$2:$E$11,MATCH(C125,Léky!$A$2:$A$11,0))</f>
        <v>Antibiotika</v>
      </c>
      <c r="F125" s="2" t="n">
        <v>1</v>
      </c>
      <c r="G125" s="5" t="n">
        <f aca="false">INDEX(Léky!$H$2:$H$11,MATCH(C125,Léky!$A$2:$A$11,0))</f>
        <v>120</v>
      </c>
      <c r="H125" s="5" t="n">
        <f aca="false">F125*G125</f>
        <v>120</v>
      </c>
    </row>
    <row r="126" customFormat="false" ht="15" hidden="false" customHeight="false" outlineLevel="0" collapsed="false">
      <c r="A126" s="11" t="n">
        <v>45689</v>
      </c>
      <c r="B126" s="2" t="s">
        <v>171</v>
      </c>
      <c r="C126" s="2" t="s">
        <v>34</v>
      </c>
      <c r="D126" s="2" t="str">
        <f aca="false">INDEX(Léky!$B$2:$B$11,MATCH(C126,Léky!$A$2:$A$11,0))</f>
        <v>Metformin 500 mg</v>
      </c>
      <c r="E126" s="2" t="str">
        <f aca="false">INDEX(Léky!$E$2:$E$11,MATCH(C126,Léky!$A$2:$A$11,0))</f>
        <v>Diabetes</v>
      </c>
      <c r="F126" s="2" t="n">
        <v>1</v>
      </c>
      <c r="G126" s="5" t="n">
        <f aca="false">INDEX(Léky!$H$2:$H$11,MATCH(C126,Léky!$A$2:$A$11,0))</f>
        <v>89</v>
      </c>
      <c r="H126" s="5" t="n">
        <f aca="false">F126*G126</f>
        <v>89</v>
      </c>
    </row>
    <row r="127" customFormat="false" ht="15" hidden="false" customHeight="false" outlineLevel="0" collapsed="false">
      <c r="A127" s="11" t="n">
        <v>45689</v>
      </c>
      <c r="B127" s="2" t="s">
        <v>171</v>
      </c>
      <c r="C127" s="2" t="s">
        <v>48</v>
      </c>
      <c r="D127" s="2" t="str">
        <f aca="false">INDEX(Léky!$B$2:$B$11,MATCH(C127,Léky!$A$2:$A$11,0))</f>
        <v>Amlodipin 5 mg</v>
      </c>
      <c r="E127" s="2" t="str">
        <f aca="false">INDEX(Léky!$E$2:$E$11,MATCH(C127,Léky!$A$2:$A$11,0))</f>
        <v>Krevní tlak</v>
      </c>
      <c r="F127" s="2" t="n">
        <v>1</v>
      </c>
      <c r="G127" s="5" t="n">
        <f aca="false">INDEX(Léky!$H$2:$H$11,MATCH(C127,Léky!$A$2:$A$11,0))</f>
        <v>72</v>
      </c>
      <c r="H127" s="5" t="n">
        <f aca="false">F127*G127</f>
        <v>72</v>
      </c>
    </row>
    <row r="128" customFormat="false" ht="15" hidden="false" customHeight="false" outlineLevel="0" collapsed="false">
      <c r="A128" s="11" t="n">
        <v>45689</v>
      </c>
      <c r="B128" s="2" t="s">
        <v>171</v>
      </c>
      <c r="C128" s="2" t="s">
        <v>57</v>
      </c>
      <c r="D128" s="2" t="str">
        <f aca="false">INDEX(Léky!$B$2:$B$11,MATCH(C128,Léky!$A$2:$A$11,0))</f>
        <v>Levothyroxin 50 µg</v>
      </c>
      <c r="E128" s="2" t="str">
        <f aca="false">INDEX(Léky!$E$2:$E$11,MATCH(C128,Léky!$A$2:$A$11,0))</f>
        <v>Štítná žláza</v>
      </c>
      <c r="F128" s="2" t="n">
        <v>1</v>
      </c>
      <c r="G128" s="5" t="n">
        <f aca="false">INDEX(Léky!$H$2:$H$11,MATCH(C128,Léky!$A$2:$A$11,0))</f>
        <v>118</v>
      </c>
      <c r="H128" s="5" t="n">
        <f aca="false">F128*G128</f>
        <v>118</v>
      </c>
    </row>
    <row r="129" customFormat="false" ht="15" hidden="false" customHeight="false" outlineLevel="0" collapsed="false">
      <c r="A129" s="11" t="n">
        <v>45689</v>
      </c>
      <c r="B129" s="2" t="s">
        <v>173</v>
      </c>
      <c r="C129" s="2" t="s">
        <v>53</v>
      </c>
      <c r="D129" s="2" t="str">
        <f aca="false">INDEX(Léky!$B$2:$B$11,MATCH(C129,Léky!$A$2:$A$11,0))</f>
        <v>Ramipril 5 mg</v>
      </c>
      <c r="E129" s="2" t="str">
        <f aca="false">INDEX(Léky!$E$2:$E$11,MATCH(C129,Léky!$A$2:$A$11,0))</f>
        <v>Krevní tlak</v>
      </c>
      <c r="F129" s="2" t="n">
        <v>1</v>
      </c>
      <c r="G129" s="5" t="n">
        <f aca="false">INDEX(Léky!$H$2:$H$11,MATCH(C129,Léky!$A$2:$A$11,0))</f>
        <v>98</v>
      </c>
      <c r="H129" s="5" t="n">
        <f aca="false">F129*G129</f>
        <v>98</v>
      </c>
    </row>
    <row r="130" customFormat="false" ht="15" hidden="false" customHeight="false" outlineLevel="0" collapsed="false">
      <c r="A130" s="11" t="n">
        <v>45689</v>
      </c>
      <c r="B130" s="2" t="s">
        <v>173</v>
      </c>
      <c r="C130" s="2" t="s">
        <v>91</v>
      </c>
      <c r="D130" s="2" t="str">
        <f aca="false">INDEX(Léky!$B$2:$B$11,MATCH(C130,Léky!$A$2:$A$11,0))</f>
        <v>Ibuprofen 400 mg</v>
      </c>
      <c r="E130" s="2" t="str">
        <f aca="false">INDEX(Léky!$E$2:$E$11,MATCH(C130,Léky!$A$2:$A$11,0))</f>
        <v>Bolest</v>
      </c>
      <c r="F130" s="2" t="n">
        <v>1</v>
      </c>
      <c r="G130" s="5" t="n">
        <f aca="false">INDEX(Léky!$H$2:$H$11,MATCH(C130,Léky!$A$2:$A$11,0))</f>
        <v>65</v>
      </c>
      <c r="H130" s="5" t="n">
        <f aca="false">F130*G130</f>
        <v>65</v>
      </c>
    </row>
    <row r="131" customFormat="false" ht="15" hidden="false" customHeight="false" outlineLevel="0" collapsed="false">
      <c r="A131" s="11" t="n">
        <v>45689</v>
      </c>
      <c r="B131" s="2" t="s">
        <v>174</v>
      </c>
      <c r="C131" s="2" t="s">
        <v>48</v>
      </c>
      <c r="D131" s="2" t="str">
        <f aca="false">INDEX(Léky!$B$2:$B$11,MATCH(C131,Léky!$A$2:$A$11,0))</f>
        <v>Amlodipin 5 mg</v>
      </c>
      <c r="E131" s="2" t="str">
        <f aca="false">INDEX(Léky!$E$2:$E$11,MATCH(C131,Léky!$A$2:$A$11,0))</f>
        <v>Krevní tlak</v>
      </c>
      <c r="F131" s="2" t="n">
        <v>1</v>
      </c>
      <c r="G131" s="5" t="n">
        <f aca="false">INDEX(Léky!$H$2:$H$11,MATCH(C131,Léky!$A$2:$A$11,0))</f>
        <v>72</v>
      </c>
      <c r="H131" s="5" t="n">
        <f aca="false">F131*G131</f>
        <v>72</v>
      </c>
    </row>
    <row r="132" customFormat="false" ht="15" hidden="false" customHeight="false" outlineLevel="0" collapsed="false">
      <c r="A132" s="11" t="n">
        <v>45689</v>
      </c>
      <c r="B132" s="2" t="s">
        <v>174</v>
      </c>
      <c r="C132" s="2" t="s">
        <v>53</v>
      </c>
      <c r="D132" s="2" t="str">
        <f aca="false">INDEX(Léky!$B$2:$B$11,MATCH(C132,Léky!$A$2:$A$11,0))</f>
        <v>Ramipril 5 mg</v>
      </c>
      <c r="E132" s="2" t="str">
        <f aca="false">INDEX(Léky!$E$2:$E$11,MATCH(C132,Léky!$A$2:$A$11,0))</f>
        <v>Krevní tlak</v>
      </c>
      <c r="F132" s="2" t="n">
        <v>1</v>
      </c>
      <c r="G132" s="5" t="n">
        <f aca="false">INDEX(Léky!$H$2:$H$11,MATCH(C132,Léky!$A$2:$A$11,0))</f>
        <v>98</v>
      </c>
      <c r="H132" s="5" t="n">
        <f aca="false">F132*G132</f>
        <v>98</v>
      </c>
    </row>
    <row r="133" customFormat="false" ht="15" hidden="false" customHeight="false" outlineLevel="0" collapsed="false">
      <c r="A133" s="11" t="n">
        <v>45689</v>
      </c>
      <c r="B133" s="2" t="s">
        <v>174</v>
      </c>
      <c r="C133" s="2" t="s">
        <v>76</v>
      </c>
      <c r="D133" s="2" t="str">
        <f aca="false">INDEX(Léky!$B$2:$B$11,MATCH(C133,Léky!$A$2:$A$11,0))</f>
        <v>Salbutamol inhalátor</v>
      </c>
      <c r="E133" s="2" t="str">
        <f aca="false">INDEX(Léky!$E$2:$E$11,MATCH(C133,Léky!$A$2:$A$11,0))</f>
        <v>Dýchací cesty</v>
      </c>
      <c r="F133" s="2" t="n">
        <v>1</v>
      </c>
      <c r="G133" s="5" t="n">
        <f aca="false">INDEX(Léky!$H$2:$H$11,MATCH(C133,Léky!$A$2:$A$11,0))</f>
        <v>165</v>
      </c>
      <c r="H133" s="5" t="n">
        <f aca="false">F133*G133</f>
        <v>165</v>
      </c>
    </row>
    <row r="134" customFormat="false" ht="15" hidden="false" customHeight="false" outlineLevel="0" collapsed="false">
      <c r="A134" s="11" t="n">
        <v>45689</v>
      </c>
      <c r="B134" s="2" t="s">
        <v>175</v>
      </c>
      <c r="C134" s="2" t="s">
        <v>63</v>
      </c>
      <c r="D134" s="2" t="str">
        <f aca="false">INDEX(Léky!$B$2:$B$11,MATCH(C134,Léky!$A$2:$A$11,0))</f>
        <v>Omeprazol 20 mg</v>
      </c>
      <c r="E134" s="2" t="str">
        <f aca="false">INDEX(Léky!$E$2:$E$11,MATCH(C134,Léky!$A$2:$A$11,0))</f>
        <v>Trávení</v>
      </c>
      <c r="F134" s="2" t="n">
        <v>1</v>
      </c>
      <c r="G134" s="5" t="n">
        <f aca="false">INDEX(Léky!$H$2:$H$11,MATCH(C134,Léky!$A$2:$A$11,0))</f>
        <v>135</v>
      </c>
      <c r="H134" s="5" t="n">
        <f aca="false">F134*G134</f>
        <v>135</v>
      </c>
    </row>
    <row r="135" customFormat="false" ht="15" hidden="false" customHeight="false" outlineLevel="0" collapsed="false">
      <c r="A135" s="11" t="n">
        <v>45717</v>
      </c>
      <c r="B135" s="2" t="s">
        <v>103</v>
      </c>
      <c r="C135" s="2" t="s">
        <v>34</v>
      </c>
      <c r="D135" s="2" t="str">
        <f aca="false">INDEX(Léky!$B$2:$B$11,MATCH(C135,Léky!$A$2:$A$11,0))</f>
        <v>Metformin 500 mg</v>
      </c>
      <c r="E135" s="2" t="str">
        <f aca="false">INDEX(Léky!$E$2:$E$11,MATCH(C135,Léky!$A$2:$A$11,0))</f>
        <v>Diabetes</v>
      </c>
      <c r="F135" s="2" t="n">
        <v>1</v>
      </c>
      <c r="G135" s="5" t="n">
        <f aca="false">INDEX(Léky!$H$2:$H$11,MATCH(C135,Léky!$A$2:$A$11,0))</f>
        <v>89</v>
      </c>
      <c r="H135" s="5" t="n">
        <f aca="false">F135*G135</f>
        <v>89</v>
      </c>
    </row>
    <row r="136" customFormat="false" ht="15" hidden="false" customHeight="false" outlineLevel="0" collapsed="false">
      <c r="A136" s="11" t="n">
        <v>45717</v>
      </c>
      <c r="B136" s="2" t="s">
        <v>103</v>
      </c>
      <c r="C136" s="2" t="s">
        <v>84</v>
      </c>
      <c r="D136" s="2" t="str">
        <f aca="false">INDEX(Léky!$B$2:$B$11,MATCH(C136,Léky!$A$2:$A$11,0))</f>
        <v>Amoxicilin 500 mg</v>
      </c>
      <c r="E136" s="2" t="str">
        <f aca="false">INDEX(Léky!$E$2:$E$11,MATCH(C136,Léky!$A$2:$A$11,0))</f>
        <v>Antibiotika</v>
      </c>
      <c r="F136" s="2" t="n">
        <v>1</v>
      </c>
      <c r="G136" s="5" t="n">
        <f aca="false">INDEX(Léky!$H$2:$H$11,MATCH(C136,Léky!$A$2:$A$11,0))</f>
        <v>120</v>
      </c>
      <c r="H136" s="5" t="n">
        <f aca="false">F136*G136</f>
        <v>120</v>
      </c>
    </row>
    <row r="137" customFormat="false" ht="15" hidden="false" customHeight="false" outlineLevel="0" collapsed="false">
      <c r="A137" s="11" t="n">
        <v>45717</v>
      </c>
      <c r="B137" s="2" t="s">
        <v>107</v>
      </c>
      <c r="C137" s="2" t="s">
        <v>84</v>
      </c>
      <c r="D137" s="2" t="str">
        <f aca="false">INDEX(Léky!$B$2:$B$11,MATCH(C137,Léky!$A$2:$A$11,0))</f>
        <v>Amoxicilin 500 mg</v>
      </c>
      <c r="E137" s="2" t="str">
        <f aca="false">INDEX(Léky!$E$2:$E$11,MATCH(C137,Léky!$A$2:$A$11,0))</f>
        <v>Antibiotika</v>
      </c>
      <c r="F137" s="2" t="n">
        <v>1</v>
      </c>
      <c r="G137" s="5" t="n">
        <f aca="false">INDEX(Léky!$H$2:$H$11,MATCH(C137,Léky!$A$2:$A$11,0))</f>
        <v>120</v>
      </c>
      <c r="H137" s="5" t="n">
        <f aca="false">F137*G137</f>
        <v>120</v>
      </c>
    </row>
    <row r="138" customFormat="false" ht="15" hidden="false" customHeight="false" outlineLevel="0" collapsed="false">
      <c r="A138" s="11" t="n">
        <v>45717</v>
      </c>
      <c r="B138" s="2" t="s">
        <v>110</v>
      </c>
      <c r="C138" s="2" t="s">
        <v>63</v>
      </c>
      <c r="D138" s="2" t="str">
        <f aca="false">INDEX(Léky!$B$2:$B$11,MATCH(C138,Léky!$A$2:$A$11,0))</f>
        <v>Omeprazol 20 mg</v>
      </c>
      <c r="E138" s="2" t="str">
        <f aca="false">INDEX(Léky!$E$2:$E$11,MATCH(C138,Léky!$A$2:$A$11,0))</f>
        <v>Trávení</v>
      </c>
      <c r="F138" s="2" t="n">
        <v>1</v>
      </c>
      <c r="G138" s="5" t="n">
        <f aca="false">INDEX(Léky!$H$2:$H$11,MATCH(C138,Léky!$A$2:$A$11,0))</f>
        <v>135</v>
      </c>
      <c r="H138" s="5" t="n">
        <f aca="false">F138*G138</f>
        <v>135</v>
      </c>
    </row>
    <row r="139" customFormat="false" ht="15" hidden="false" customHeight="false" outlineLevel="0" collapsed="false">
      <c r="A139" s="11" t="n">
        <v>45717</v>
      </c>
      <c r="B139" s="2" t="s">
        <v>114</v>
      </c>
      <c r="C139" s="2" t="s">
        <v>53</v>
      </c>
      <c r="D139" s="2" t="str">
        <f aca="false">INDEX(Léky!$B$2:$B$11,MATCH(C139,Léky!$A$2:$A$11,0))</f>
        <v>Ramipril 5 mg</v>
      </c>
      <c r="E139" s="2" t="str">
        <f aca="false">INDEX(Léky!$E$2:$E$11,MATCH(C139,Léky!$A$2:$A$11,0))</f>
        <v>Krevní tlak</v>
      </c>
      <c r="F139" s="2" t="n">
        <v>1</v>
      </c>
      <c r="G139" s="5" t="n">
        <f aca="false">INDEX(Léky!$H$2:$H$11,MATCH(C139,Léky!$A$2:$A$11,0))</f>
        <v>98</v>
      </c>
      <c r="H139" s="5" t="n">
        <f aca="false">F139*G139</f>
        <v>98</v>
      </c>
    </row>
    <row r="140" customFormat="false" ht="15" hidden="false" customHeight="false" outlineLevel="0" collapsed="false">
      <c r="A140" s="11" t="n">
        <v>45717</v>
      </c>
      <c r="B140" s="2" t="s">
        <v>114</v>
      </c>
      <c r="C140" s="2" t="s">
        <v>84</v>
      </c>
      <c r="D140" s="2" t="str">
        <f aca="false">INDEX(Léky!$B$2:$B$11,MATCH(C140,Léky!$A$2:$A$11,0))</f>
        <v>Amoxicilin 500 mg</v>
      </c>
      <c r="E140" s="2" t="str">
        <f aca="false">INDEX(Léky!$E$2:$E$11,MATCH(C140,Léky!$A$2:$A$11,0))</f>
        <v>Antibiotika</v>
      </c>
      <c r="F140" s="2" t="n">
        <v>1</v>
      </c>
      <c r="G140" s="5" t="n">
        <f aca="false">INDEX(Léky!$H$2:$H$11,MATCH(C140,Léky!$A$2:$A$11,0))</f>
        <v>120</v>
      </c>
      <c r="H140" s="5" t="n">
        <f aca="false">F140*G140</f>
        <v>120</v>
      </c>
    </row>
    <row r="141" customFormat="false" ht="15" hidden="false" customHeight="false" outlineLevel="0" collapsed="false">
      <c r="A141" s="11" t="n">
        <v>45717</v>
      </c>
      <c r="B141" s="2" t="s">
        <v>118</v>
      </c>
      <c r="C141" s="2" t="s">
        <v>48</v>
      </c>
      <c r="D141" s="2" t="str">
        <f aca="false">INDEX(Léky!$B$2:$B$11,MATCH(C141,Léky!$A$2:$A$11,0))</f>
        <v>Amlodipin 5 mg</v>
      </c>
      <c r="E141" s="2" t="str">
        <f aca="false">INDEX(Léky!$E$2:$E$11,MATCH(C141,Léky!$A$2:$A$11,0))</f>
        <v>Krevní tlak</v>
      </c>
      <c r="F141" s="2" t="n">
        <v>1</v>
      </c>
      <c r="G141" s="5" t="n">
        <f aca="false">INDEX(Léky!$H$2:$H$11,MATCH(C141,Léky!$A$2:$A$11,0))</f>
        <v>72</v>
      </c>
      <c r="H141" s="5" t="n">
        <f aca="false">F141*G141</f>
        <v>72</v>
      </c>
    </row>
    <row r="142" customFormat="false" ht="15" hidden="false" customHeight="false" outlineLevel="0" collapsed="false">
      <c r="A142" s="11" t="n">
        <v>45717</v>
      </c>
      <c r="B142" s="2" t="s">
        <v>118</v>
      </c>
      <c r="C142" s="2" t="s">
        <v>84</v>
      </c>
      <c r="D142" s="2" t="str">
        <f aca="false">INDEX(Léky!$B$2:$B$11,MATCH(C142,Léky!$A$2:$A$11,0))</f>
        <v>Amoxicilin 500 mg</v>
      </c>
      <c r="E142" s="2" t="str">
        <f aca="false">INDEX(Léky!$E$2:$E$11,MATCH(C142,Léky!$A$2:$A$11,0))</f>
        <v>Antibiotika</v>
      </c>
      <c r="F142" s="2" t="n">
        <v>1</v>
      </c>
      <c r="G142" s="5" t="n">
        <f aca="false">INDEX(Léky!$H$2:$H$11,MATCH(C142,Léky!$A$2:$A$11,0))</f>
        <v>120</v>
      </c>
      <c r="H142" s="5" t="n">
        <f aca="false">F142*G142</f>
        <v>120</v>
      </c>
    </row>
    <row r="143" customFormat="false" ht="15" hidden="false" customHeight="false" outlineLevel="0" collapsed="false">
      <c r="A143" s="11" t="n">
        <v>45717</v>
      </c>
      <c r="B143" s="2" t="s">
        <v>120</v>
      </c>
      <c r="C143" s="2" t="s">
        <v>76</v>
      </c>
      <c r="D143" s="2" t="str">
        <f aca="false">INDEX(Léky!$B$2:$B$11,MATCH(C143,Léky!$A$2:$A$11,0))</f>
        <v>Salbutamol inhalátor</v>
      </c>
      <c r="E143" s="2" t="str">
        <f aca="false">INDEX(Léky!$E$2:$E$11,MATCH(C143,Léky!$A$2:$A$11,0))</f>
        <v>Dýchací cesty</v>
      </c>
      <c r="F143" s="2" t="n">
        <v>1</v>
      </c>
      <c r="G143" s="5" t="n">
        <f aca="false">INDEX(Léky!$H$2:$H$11,MATCH(C143,Léky!$A$2:$A$11,0))</f>
        <v>165</v>
      </c>
      <c r="H143" s="5" t="n">
        <f aca="false">F143*G143</f>
        <v>165</v>
      </c>
    </row>
    <row r="144" customFormat="false" ht="15" hidden="false" customHeight="false" outlineLevel="0" collapsed="false">
      <c r="A144" s="11" t="n">
        <v>45717</v>
      </c>
      <c r="B144" s="2" t="s">
        <v>123</v>
      </c>
      <c r="C144" s="2" t="s">
        <v>91</v>
      </c>
      <c r="D144" s="2" t="str">
        <f aca="false">INDEX(Léky!$B$2:$B$11,MATCH(C144,Léky!$A$2:$A$11,0))</f>
        <v>Ibuprofen 400 mg</v>
      </c>
      <c r="E144" s="2" t="str">
        <f aca="false">INDEX(Léky!$E$2:$E$11,MATCH(C144,Léky!$A$2:$A$11,0))</f>
        <v>Bolest</v>
      </c>
      <c r="F144" s="2" t="n">
        <v>2</v>
      </c>
      <c r="G144" s="5" t="n">
        <f aca="false">INDEX(Léky!$H$2:$H$11,MATCH(C144,Léky!$A$2:$A$11,0))</f>
        <v>65</v>
      </c>
      <c r="H144" s="5" t="n">
        <f aca="false">F144*G144</f>
        <v>130</v>
      </c>
    </row>
    <row r="145" customFormat="false" ht="15" hidden="false" customHeight="false" outlineLevel="0" collapsed="false">
      <c r="A145" s="11" t="n">
        <v>45717</v>
      </c>
      <c r="B145" s="2" t="s">
        <v>124</v>
      </c>
      <c r="C145" s="2" t="s">
        <v>48</v>
      </c>
      <c r="D145" s="2" t="str">
        <f aca="false">INDEX(Léky!$B$2:$B$11,MATCH(C145,Léky!$A$2:$A$11,0))</f>
        <v>Amlodipin 5 mg</v>
      </c>
      <c r="E145" s="2" t="str">
        <f aca="false">INDEX(Léky!$E$2:$E$11,MATCH(C145,Léky!$A$2:$A$11,0))</f>
        <v>Krevní tlak</v>
      </c>
      <c r="F145" s="2" t="n">
        <v>1</v>
      </c>
      <c r="G145" s="5" t="n">
        <f aca="false">INDEX(Léky!$H$2:$H$11,MATCH(C145,Léky!$A$2:$A$11,0))</f>
        <v>72</v>
      </c>
      <c r="H145" s="5" t="n">
        <f aca="false">F145*G145</f>
        <v>72</v>
      </c>
    </row>
    <row r="146" customFormat="false" ht="15" hidden="false" customHeight="false" outlineLevel="0" collapsed="false">
      <c r="A146" s="11" t="n">
        <v>45717</v>
      </c>
      <c r="B146" s="2" t="s">
        <v>125</v>
      </c>
      <c r="C146" s="2" t="s">
        <v>70</v>
      </c>
      <c r="D146" s="2" t="str">
        <f aca="false">INDEX(Léky!$B$2:$B$11,MATCH(C146,Léky!$A$2:$A$11,0))</f>
        <v>Sertralin 50 mg</v>
      </c>
      <c r="E146" s="2" t="str">
        <f aca="false">INDEX(Léky!$E$2:$E$11,MATCH(C146,Léky!$A$2:$A$11,0))</f>
        <v>Psychiatrie</v>
      </c>
      <c r="F146" s="2" t="n">
        <v>1</v>
      </c>
      <c r="G146" s="5" t="n">
        <f aca="false">INDEX(Léky!$H$2:$H$11,MATCH(C146,Léky!$A$2:$A$11,0))</f>
        <v>210</v>
      </c>
      <c r="H146" s="5" t="n">
        <f aca="false">F146*G146</f>
        <v>210</v>
      </c>
    </row>
    <row r="147" customFormat="false" ht="15" hidden="false" customHeight="false" outlineLevel="0" collapsed="false">
      <c r="A147" s="11" t="n">
        <v>45717</v>
      </c>
      <c r="B147" s="2" t="s">
        <v>127</v>
      </c>
      <c r="C147" s="2" t="s">
        <v>70</v>
      </c>
      <c r="D147" s="2" t="str">
        <f aca="false">INDEX(Léky!$B$2:$B$11,MATCH(C147,Léky!$A$2:$A$11,0))</f>
        <v>Sertralin 50 mg</v>
      </c>
      <c r="E147" s="2" t="str">
        <f aca="false">INDEX(Léky!$E$2:$E$11,MATCH(C147,Léky!$A$2:$A$11,0))</f>
        <v>Psychiatrie</v>
      </c>
      <c r="F147" s="2" t="n">
        <v>1</v>
      </c>
      <c r="G147" s="5" t="n">
        <f aca="false">INDEX(Léky!$H$2:$H$11,MATCH(C147,Léky!$A$2:$A$11,0))</f>
        <v>210</v>
      </c>
      <c r="H147" s="5" t="n">
        <f aca="false">F147*G147</f>
        <v>210</v>
      </c>
    </row>
    <row r="148" customFormat="false" ht="15" hidden="false" customHeight="false" outlineLevel="0" collapsed="false">
      <c r="A148" s="11" t="n">
        <v>45717</v>
      </c>
      <c r="B148" s="2" t="s">
        <v>127</v>
      </c>
      <c r="C148" s="2" t="s">
        <v>84</v>
      </c>
      <c r="D148" s="2" t="str">
        <f aca="false">INDEX(Léky!$B$2:$B$11,MATCH(C148,Léky!$A$2:$A$11,0))</f>
        <v>Amoxicilin 500 mg</v>
      </c>
      <c r="E148" s="2" t="str">
        <f aca="false">INDEX(Léky!$E$2:$E$11,MATCH(C148,Léky!$A$2:$A$11,0))</f>
        <v>Antibiotika</v>
      </c>
      <c r="F148" s="2" t="n">
        <v>1</v>
      </c>
      <c r="G148" s="5" t="n">
        <f aca="false">INDEX(Léky!$H$2:$H$11,MATCH(C148,Léky!$A$2:$A$11,0))</f>
        <v>120</v>
      </c>
      <c r="H148" s="5" t="n">
        <f aca="false">F148*G148</f>
        <v>120</v>
      </c>
    </row>
    <row r="149" customFormat="false" ht="15" hidden="false" customHeight="false" outlineLevel="0" collapsed="false">
      <c r="A149" s="11" t="n">
        <v>45717</v>
      </c>
      <c r="B149" s="2" t="s">
        <v>128</v>
      </c>
      <c r="C149" s="2" t="s">
        <v>53</v>
      </c>
      <c r="D149" s="2" t="str">
        <f aca="false">INDEX(Léky!$B$2:$B$11,MATCH(C149,Léky!$A$2:$A$11,0))</f>
        <v>Ramipril 5 mg</v>
      </c>
      <c r="E149" s="2" t="str">
        <f aca="false">INDEX(Léky!$E$2:$E$11,MATCH(C149,Léky!$A$2:$A$11,0))</f>
        <v>Krevní tlak</v>
      </c>
      <c r="F149" s="2" t="n">
        <v>1</v>
      </c>
      <c r="G149" s="5" t="n">
        <f aca="false">INDEX(Léky!$H$2:$H$11,MATCH(C149,Léky!$A$2:$A$11,0))</f>
        <v>98</v>
      </c>
      <c r="H149" s="5" t="n">
        <f aca="false">F149*G149</f>
        <v>98</v>
      </c>
    </row>
    <row r="150" customFormat="false" ht="15" hidden="false" customHeight="false" outlineLevel="0" collapsed="false">
      <c r="A150" s="11" t="n">
        <v>45717</v>
      </c>
      <c r="B150" s="2" t="s">
        <v>129</v>
      </c>
      <c r="C150" s="2" t="s">
        <v>34</v>
      </c>
      <c r="D150" s="2" t="str">
        <f aca="false">INDEX(Léky!$B$2:$B$11,MATCH(C150,Léky!$A$2:$A$11,0))</f>
        <v>Metformin 500 mg</v>
      </c>
      <c r="E150" s="2" t="str">
        <f aca="false">INDEX(Léky!$E$2:$E$11,MATCH(C150,Léky!$A$2:$A$11,0))</f>
        <v>Diabetes</v>
      </c>
      <c r="F150" s="2" t="n">
        <v>2</v>
      </c>
      <c r="G150" s="5" t="n">
        <f aca="false">INDEX(Léky!$H$2:$H$11,MATCH(C150,Léky!$A$2:$A$11,0))</f>
        <v>89</v>
      </c>
      <c r="H150" s="5" t="n">
        <f aca="false">F150*G150</f>
        <v>178</v>
      </c>
    </row>
    <row r="151" customFormat="false" ht="15" hidden="false" customHeight="false" outlineLevel="0" collapsed="false">
      <c r="A151" s="11" t="n">
        <v>45717</v>
      </c>
      <c r="B151" s="2" t="s">
        <v>129</v>
      </c>
      <c r="C151" s="2" t="s">
        <v>70</v>
      </c>
      <c r="D151" s="2" t="str">
        <f aca="false">INDEX(Léky!$B$2:$B$11,MATCH(C151,Léky!$A$2:$A$11,0))</f>
        <v>Sertralin 50 mg</v>
      </c>
      <c r="E151" s="2" t="str">
        <f aca="false">INDEX(Léky!$E$2:$E$11,MATCH(C151,Léky!$A$2:$A$11,0))</f>
        <v>Psychiatrie</v>
      </c>
      <c r="F151" s="2" t="n">
        <v>1</v>
      </c>
      <c r="G151" s="5" t="n">
        <f aca="false">INDEX(Léky!$H$2:$H$11,MATCH(C151,Léky!$A$2:$A$11,0))</f>
        <v>210</v>
      </c>
      <c r="H151" s="5" t="n">
        <f aca="false">F151*G151</f>
        <v>210</v>
      </c>
    </row>
    <row r="152" customFormat="false" ht="15" hidden="false" customHeight="false" outlineLevel="0" collapsed="false">
      <c r="A152" s="11" t="n">
        <v>45717</v>
      </c>
      <c r="B152" s="2" t="s">
        <v>130</v>
      </c>
      <c r="C152" s="2" t="s">
        <v>57</v>
      </c>
      <c r="D152" s="2" t="str">
        <f aca="false">INDEX(Léky!$B$2:$B$11,MATCH(C152,Léky!$A$2:$A$11,0))</f>
        <v>Levothyroxin 50 µg</v>
      </c>
      <c r="E152" s="2" t="str">
        <f aca="false">INDEX(Léky!$E$2:$E$11,MATCH(C152,Léky!$A$2:$A$11,0))</f>
        <v>Štítná žláza</v>
      </c>
      <c r="F152" s="2" t="n">
        <v>1</v>
      </c>
      <c r="G152" s="5" t="n">
        <f aca="false">INDEX(Léky!$H$2:$H$11,MATCH(C152,Léky!$A$2:$A$11,0))</f>
        <v>118</v>
      </c>
      <c r="H152" s="5" t="n">
        <f aca="false">F152*G152</f>
        <v>118</v>
      </c>
    </row>
    <row r="153" customFormat="false" ht="15" hidden="false" customHeight="false" outlineLevel="0" collapsed="false">
      <c r="A153" s="11" t="n">
        <v>45717</v>
      </c>
      <c r="B153" s="2" t="s">
        <v>131</v>
      </c>
      <c r="C153" s="2" t="s">
        <v>34</v>
      </c>
      <c r="D153" s="2" t="str">
        <f aca="false">INDEX(Léky!$B$2:$B$11,MATCH(C153,Léky!$A$2:$A$11,0))</f>
        <v>Metformin 500 mg</v>
      </c>
      <c r="E153" s="2" t="str">
        <f aca="false">INDEX(Léky!$E$2:$E$11,MATCH(C153,Léky!$A$2:$A$11,0))</f>
        <v>Diabetes</v>
      </c>
      <c r="F153" s="2" t="n">
        <v>2</v>
      </c>
      <c r="G153" s="5" t="n">
        <f aca="false">INDEX(Léky!$H$2:$H$11,MATCH(C153,Léky!$A$2:$A$11,0))</f>
        <v>89</v>
      </c>
      <c r="H153" s="5" t="n">
        <f aca="false">F153*G153</f>
        <v>178</v>
      </c>
    </row>
    <row r="154" customFormat="false" ht="15" hidden="false" customHeight="false" outlineLevel="0" collapsed="false">
      <c r="A154" s="11" t="n">
        <v>45717</v>
      </c>
      <c r="B154" s="2" t="s">
        <v>131</v>
      </c>
      <c r="C154" s="2" t="s">
        <v>53</v>
      </c>
      <c r="D154" s="2" t="str">
        <f aca="false">INDEX(Léky!$B$2:$B$11,MATCH(C154,Léky!$A$2:$A$11,0))</f>
        <v>Ramipril 5 mg</v>
      </c>
      <c r="E154" s="2" t="str">
        <f aca="false">INDEX(Léky!$E$2:$E$11,MATCH(C154,Léky!$A$2:$A$11,0))</f>
        <v>Krevní tlak</v>
      </c>
      <c r="F154" s="2" t="n">
        <v>1</v>
      </c>
      <c r="G154" s="5" t="n">
        <f aca="false">INDEX(Léky!$H$2:$H$11,MATCH(C154,Léky!$A$2:$A$11,0))</f>
        <v>98</v>
      </c>
      <c r="H154" s="5" t="n">
        <f aca="false">F154*G154</f>
        <v>98</v>
      </c>
    </row>
    <row r="155" customFormat="false" ht="15" hidden="false" customHeight="false" outlineLevel="0" collapsed="false">
      <c r="A155" s="11" t="n">
        <v>45717</v>
      </c>
      <c r="B155" s="2" t="s">
        <v>131</v>
      </c>
      <c r="C155" s="2" t="s">
        <v>63</v>
      </c>
      <c r="D155" s="2" t="str">
        <f aca="false">INDEX(Léky!$B$2:$B$11,MATCH(C155,Léky!$A$2:$A$11,0))</f>
        <v>Omeprazol 20 mg</v>
      </c>
      <c r="E155" s="2" t="str">
        <f aca="false">INDEX(Léky!$E$2:$E$11,MATCH(C155,Léky!$A$2:$A$11,0))</f>
        <v>Trávení</v>
      </c>
      <c r="F155" s="2" t="n">
        <v>1</v>
      </c>
      <c r="G155" s="5" t="n">
        <f aca="false">INDEX(Léky!$H$2:$H$11,MATCH(C155,Léky!$A$2:$A$11,0))</f>
        <v>135</v>
      </c>
      <c r="H155" s="5" t="n">
        <f aca="false">F155*G155</f>
        <v>135</v>
      </c>
    </row>
    <row r="156" customFormat="false" ht="15" hidden="false" customHeight="false" outlineLevel="0" collapsed="false">
      <c r="A156" s="11" t="n">
        <v>45717</v>
      </c>
      <c r="B156" s="2" t="s">
        <v>133</v>
      </c>
      <c r="C156" s="2" t="s">
        <v>48</v>
      </c>
      <c r="D156" s="2" t="str">
        <f aca="false">INDEX(Léky!$B$2:$B$11,MATCH(C156,Léky!$A$2:$A$11,0))</f>
        <v>Amlodipin 5 mg</v>
      </c>
      <c r="E156" s="2" t="str">
        <f aca="false">INDEX(Léky!$E$2:$E$11,MATCH(C156,Léky!$A$2:$A$11,0))</f>
        <v>Krevní tlak</v>
      </c>
      <c r="F156" s="2" t="n">
        <v>1</v>
      </c>
      <c r="G156" s="5" t="n">
        <f aca="false">INDEX(Léky!$H$2:$H$11,MATCH(C156,Léky!$A$2:$A$11,0))</f>
        <v>72</v>
      </c>
      <c r="H156" s="5" t="n">
        <f aca="false">F156*G156</f>
        <v>72</v>
      </c>
    </row>
    <row r="157" customFormat="false" ht="15" hidden="false" customHeight="false" outlineLevel="0" collapsed="false">
      <c r="A157" s="11" t="n">
        <v>45717</v>
      </c>
      <c r="B157" s="2" t="s">
        <v>133</v>
      </c>
      <c r="C157" s="2" t="s">
        <v>70</v>
      </c>
      <c r="D157" s="2" t="str">
        <f aca="false">INDEX(Léky!$B$2:$B$11,MATCH(C157,Léky!$A$2:$A$11,0))</f>
        <v>Sertralin 50 mg</v>
      </c>
      <c r="E157" s="2" t="str">
        <f aca="false">INDEX(Léky!$E$2:$E$11,MATCH(C157,Léky!$A$2:$A$11,0))</f>
        <v>Psychiatrie</v>
      </c>
      <c r="F157" s="2" t="n">
        <v>1</v>
      </c>
      <c r="G157" s="5" t="n">
        <f aca="false">INDEX(Léky!$H$2:$H$11,MATCH(C157,Léky!$A$2:$A$11,0))</f>
        <v>210</v>
      </c>
      <c r="H157" s="5" t="n">
        <f aca="false">F157*G157</f>
        <v>210</v>
      </c>
    </row>
    <row r="158" customFormat="false" ht="15" hidden="false" customHeight="false" outlineLevel="0" collapsed="false">
      <c r="A158" s="11" t="n">
        <v>45717</v>
      </c>
      <c r="B158" s="2" t="s">
        <v>133</v>
      </c>
      <c r="C158" s="2" t="s">
        <v>91</v>
      </c>
      <c r="D158" s="2" t="str">
        <f aca="false">INDEX(Léky!$B$2:$B$11,MATCH(C158,Léky!$A$2:$A$11,0))</f>
        <v>Ibuprofen 400 mg</v>
      </c>
      <c r="E158" s="2" t="str">
        <f aca="false">INDEX(Léky!$E$2:$E$11,MATCH(C158,Léky!$A$2:$A$11,0))</f>
        <v>Bolest</v>
      </c>
      <c r="F158" s="2" t="n">
        <v>2</v>
      </c>
      <c r="G158" s="5" t="n">
        <f aca="false">INDEX(Léky!$H$2:$H$11,MATCH(C158,Léky!$A$2:$A$11,0))</f>
        <v>65</v>
      </c>
      <c r="H158" s="5" t="n">
        <f aca="false">F158*G158</f>
        <v>130</v>
      </c>
    </row>
    <row r="159" customFormat="false" ht="15" hidden="false" customHeight="false" outlineLevel="0" collapsed="false">
      <c r="A159" s="11" t="n">
        <v>45717</v>
      </c>
      <c r="B159" s="2" t="s">
        <v>134</v>
      </c>
      <c r="C159" s="2" t="s">
        <v>53</v>
      </c>
      <c r="D159" s="2" t="str">
        <f aca="false">INDEX(Léky!$B$2:$B$11,MATCH(C159,Léky!$A$2:$A$11,0))</f>
        <v>Ramipril 5 mg</v>
      </c>
      <c r="E159" s="2" t="str">
        <f aca="false">INDEX(Léky!$E$2:$E$11,MATCH(C159,Léky!$A$2:$A$11,0))</f>
        <v>Krevní tlak</v>
      </c>
      <c r="F159" s="2" t="n">
        <v>1</v>
      </c>
      <c r="G159" s="5" t="n">
        <f aca="false">INDEX(Léky!$H$2:$H$11,MATCH(C159,Léky!$A$2:$A$11,0))</f>
        <v>98</v>
      </c>
      <c r="H159" s="5" t="n">
        <f aca="false">F159*G159</f>
        <v>98</v>
      </c>
    </row>
    <row r="160" customFormat="false" ht="15" hidden="false" customHeight="false" outlineLevel="0" collapsed="false">
      <c r="A160" s="11" t="n">
        <v>45717</v>
      </c>
      <c r="B160" s="2" t="s">
        <v>136</v>
      </c>
      <c r="C160" s="2" t="s">
        <v>84</v>
      </c>
      <c r="D160" s="2" t="str">
        <f aca="false">INDEX(Léky!$B$2:$B$11,MATCH(C160,Léky!$A$2:$A$11,0))</f>
        <v>Amoxicilin 500 mg</v>
      </c>
      <c r="E160" s="2" t="str">
        <f aca="false">INDEX(Léky!$E$2:$E$11,MATCH(C160,Léky!$A$2:$A$11,0))</f>
        <v>Antibiotika</v>
      </c>
      <c r="F160" s="2" t="n">
        <v>1</v>
      </c>
      <c r="G160" s="5" t="n">
        <f aca="false">INDEX(Léky!$H$2:$H$11,MATCH(C160,Léky!$A$2:$A$11,0))</f>
        <v>120</v>
      </c>
      <c r="H160" s="5" t="n">
        <f aca="false">F160*G160</f>
        <v>120</v>
      </c>
    </row>
    <row r="161" customFormat="false" ht="15" hidden="false" customHeight="false" outlineLevel="0" collapsed="false">
      <c r="A161" s="11" t="n">
        <v>45717</v>
      </c>
      <c r="B161" s="2" t="s">
        <v>137</v>
      </c>
      <c r="C161" s="2" t="s">
        <v>70</v>
      </c>
      <c r="D161" s="2" t="str">
        <f aca="false">INDEX(Léky!$B$2:$B$11,MATCH(C161,Léky!$A$2:$A$11,0))</f>
        <v>Sertralin 50 mg</v>
      </c>
      <c r="E161" s="2" t="str">
        <f aca="false">INDEX(Léky!$E$2:$E$11,MATCH(C161,Léky!$A$2:$A$11,0))</f>
        <v>Psychiatrie</v>
      </c>
      <c r="F161" s="2" t="n">
        <v>1</v>
      </c>
      <c r="G161" s="5" t="n">
        <f aca="false">INDEX(Léky!$H$2:$H$11,MATCH(C161,Léky!$A$2:$A$11,0))</f>
        <v>210</v>
      </c>
      <c r="H161" s="5" t="n">
        <f aca="false">F161*G161</f>
        <v>210</v>
      </c>
    </row>
    <row r="162" customFormat="false" ht="15" hidden="false" customHeight="false" outlineLevel="0" collapsed="false">
      <c r="A162" s="11" t="n">
        <v>45717</v>
      </c>
      <c r="B162" s="2" t="s">
        <v>138</v>
      </c>
      <c r="C162" s="2" t="s">
        <v>48</v>
      </c>
      <c r="D162" s="2" t="str">
        <f aca="false">INDEX(Léky!$B$2:$B$11,MATCH(C162,Léky!$A$2:$A$11,0))</f>
        <v>Amlodipin 5 mg</v>
      </c>
      <c r="E162" s="2" t="str">
        <f aca="false">INDEX(Léky!$E$2:$E$11,MATCH(C162,Léky!$A$2:$A$11,0))</f>
        <v>Krevní tlak</v>
      </c>
      <c r="F162" s="2" t="n">
        <v>1</v>
      </c>
      <c r="G162" s="5" t="n">
        <f aca="false">INDEX(Léky!$H$2:$H$11,MATCH(C162,Léky!$A$2:$A$11,0))</f>
        <v>72</v>
      </c>
      <c r="H162" s="5" t="n">
        <f aca="false">F162*G162</f>
        <v>72</v>
      </c>
    </row>
    <row r="163" customFormat="false" ht="15" hidden="false" customHeight="false" outlineLevel="0" collapsed="false">
      <c r="A163" s="11" t="n">
        <v>45717</v>
      </c>
      <c r="B163" s="2" t="s">
        <v>138</v>
      </c>
      <c r="C163" s="2" t="s">
        <v>57</v>
      </c>
      <c r="D163" s="2" t="str">
        <f aca="false">INDEX(Léky!$B$2:$B$11,MATCH(C163,Léky!$A$2:$A$11,0))</f>
        <v>Levothyroxin 50 µg</v>
      </c>
      <c r="E163" s="2" t="str">
        <f aca="false">INDEX(Léky!$E$2:$E$11,MATCH(C163,Léky!$A$2:$A$11,0))</f>
        <v>Štítná žláza</v>
      </c>
      <c r="F163" s="2" t="n">
        <v>1</v>
      </c>
      <c r="G163" s="5" t="n">
        <f aca="false">INDEX(Léky!$H$2:$H$11,MATCH(C163,Léky!$A$2:$A$11,0))</f>
        <v>118</v>
      </c>
      <c r="H163" s="5" t="n">
        <f aca="false">F163*G163</f>
        <v>118</v>
      </c>
    </row>
    <row r="164" customFormat="false" ht="15" hidden="false" customHeight="false" outlineLevel="0" collapsed="false">
      <c r="A164" s="11" t="n">
        <v>45717</v>
      </c>
      <c r="B164" s="2" t="s">
        <v>138</v>
      </c>
      <c r="C164" s="2" t="s">
        <v>63</v>
      </c>
      <c r="D164" s="2" t="str">
        <f aca="false">INDEX(Léky!$B$2:$B$11,MATCH(C164,Léky!$A$2:$A$11,0))</f>
        <v>Omeprazol 20 mg</v>
      </c>
      <c r="E164" s="2" t="str">
        <f aca="false">INDEX(Léky!$E$2:$E$11,MATCH(C164,Léky!$A$2:$A$11,0))</f>
        <v>Trávení</v>
      </c>
      <c r="F164" s="2" t="n">
        <v>1</v>
      </c>
      <c r="G164" s="5" t="n">
        <f aca="false">INDEX(Léky!$H$2:$H$11,MATCH(C164,Léky!$A$2:$A$11,0))</f>
        <v>135</v>
      </c>
      <c r="H164" s="5" t="n">
        <f aca="false">F164*G164</f>
        <v>135</v>
      </c>
    </row>
    <row r="165" customFormat="false" ht="15" hidden="false" customHeight="false" outlineLevel="0" collapsed="false">
      <c r="A165" s="11" t="n">
        <v>45717</v>
      </c>
      <c r="B165" s="2" t="s">
        <v>140</v>
      </c>
      <c r="C165" s="2" t="s">
        <v>42</v>
      </c>
      <c r="D165" s="2" t="str">
        <f aca="false">INDEX(Léky!$B$2:$B$11,MATCH(C165,Léky!$A$2:$A$11,0))</f>
        <v>Atorvastatin 20 mg</v>
      </c>
      <c r="E165" s="2" t="str">
        <f aca="false">INDEX(Léky!$E$2:$E$11,MATCH(C165,Léky!$A$2:$A$11,0))</f>
        <v>Cholesterol</v>
      </c>
      <c r="F165" s="2" t="n">
        <v>1</v>
      </c>
      <c r="G165" s="5" t="n">
        <f aca="false">INDEX(Léky!$H$2:$H$11,MATCH(C165,Léky!$A$2:$A$11,0))</f>
        <v>145</v>
      </c>
      <c r="H165" s="5" t="n">
        <f aca="false">F165*G165</f>
        <v>145</v>
      </c>
    </row>
    <row r="166" customFormat="false" ht="15" hidden="false" customHeight="false" outlineLevel="0" collapsed="false">
      <c r="A166" s="11" t="n">
        <v>45717</v>
      </c>
      <c r="B166" s="2" t="s">
        <v>140</v>
      </c>
      <c r="C166" s="2" t="s">
        <v>57</v>
      </c>
      <c r="D166" s="2" t="str">
        <f aca="false">INDEX(Léky!$B$2:$B$11,MATCH(C166,Léky!$A$2:$A$11,0))</f>
        <v>Levothyroxin 50 µg</v>
      </c>
      <c r="E166" s="2" t="str">
        <f aca="false">INDEX(Léky!$E$2:$E$11,MATCH(C166,Léky!$A$2:$A$11,0))</f>
        <v>Štítná žláza</v>
      </c>
      <c r="F166" s="2" t="n">
        <v>1</v>
      </c>
      <c r="G166" s="5" t="n">
        <f aca="false">INDEX(Léky!$H$2:$H$11,MATCH(C166,Léky!$A$2:$A$11,0))</f>
        <v>118</v>
      </c>
      <c r="H166" s="5" t="n">
        <f aca="false">F166*G166</f>
        <v>118</v>
      </c>
    </row>
    <row r="167" customFormat="false" ht="15" hidden="false" customHeight="false" outlineLevel="0" collapsed="false">
      <c r="A167" s="11" t="n">
        <v>45717</v>
      </c>
      <c r="B167" s="2" t="s">
        <v>140</v>
      </c>
      <c r="C167" s="2" t="s">
        <v>84</v>
      </c>
      <c r="D167" s="2" t="str">
        <f aca="false">INDEX(Léky!$B$2:$B$11,MATCH(C167,Léky!$A$2:$A$11,0))</f>
        <v>Amoxicilin 500 mg</v>
      </c>
      <c r="E167" s="2" t="str">
        <f aca="false">INDEX(Léky!$E$2:$E$11,MATCH(C167,Léky!$A$2:$A$11,0))</f>
        <v>Antibiotika</v>
      </c>
      <c r="F167" s="2" t="n">
        <v>1</v>
      </c>
      <c r="G167" s="5" t="n">
        <f aca="false">INDEX(Léky!$H$2:$H$11,MATCH(C167,Léky!$A$2:$A$11,0))</f>
        <v>120</v>
      </c>
      <c r="H167" s="5" t="n">
        <f aca="false">F167*G167</f>
        <v>120</v>
      </c>
    </row>
    <row r="168" customFormat="false" ht="15" hidden="false" customHeight="false" outlineLevel="0" collapsed="false">
      <c r="A168" s="11" t="n">
        <v>45717</v>
      </c>
      <c r="B168" s="2" t="s">
        <v>141</v>
      </c>
      <c r="C168" s="2" t="s">
        <v>53</v>
      </c>
      <c r="D168" s="2" t="str">
        <f aca="false">INDEX(Léky!$B$2:$B$11,MATCH(C168,Léky!$A$2:$A$11,0))</f>
        <v>Ramipril 5 mg</v>
      </c>
      <c r="E168" s="2" t="str">
        <f aca="false">INDEX(Léky!$E$2:$E$11,MATCH(C168,Léky!$A$2:$A$11,0))</f>
        <v>Krevní tlak</v>
      </c>
      <c r="F168" s="2" t="n">
        <v>1</v>
      </c>
      <c r="G168" s="5" t="n">
        <f aca="false">INDEX(Léky!$H$2:$H$11,MATCH(C168,Léky!$A$2:$A$11,0))</f>
        <v>98</v>
      </c>
      <c r="H168" s="5" t="n">
        <f aca="false">F168*G168</f>
        <v>98</v>
      </c>
    </row>
    <row r="169" customFormat="false" ht="15" hidden="false" customHeight="false" outlineLevel="0" collapsed="false">
      <c r="A169" s="11" t="n">
        <v>45717</v>
      </c>
      <c r="B169" s="2" t="s">
        <v>142</v>
      </c>
      <c r="C169" s="2" t="s">
        <v>48</v>
      </c>
      <c r="D169" s="2" t="str">
        <f aca="false">INDEX(Léky!$B$2:$B$11,MATCH(C169,Léky!$A$2:$A$11,0))</f>
        <v>Amlodipin 5 mg</v>
      </c>
      <c r="E169" s="2" t="str">
        <f aca="false">INDEX(Léky!$E$2:$E$11,MATCH(C169,Léky!$A$2:$A$11,0))</f>
        <v>Krevní tlak</v>
      </c>
      <c r="F169" s="2" t="n">
        <v>1</v>
      </c>
      <c r="G169" s="5" t="n">
        <f aca="false">INDEX(Léky!$H$2:$H$11,MATCH(C169,Léky!$A$2:$A$11,0))</f>
        <v>72</v>
      </c>
      <c r="H169" s="5" t="n">
        <f aca="false">F169*G169</f>
        <v>72</v>
      </c>
    </row>
    <row r="170" customFormat="false" ht="15" hidden="false" customHeight="false" outlineLevel="0" collapsed="false">
      <c r="A170" s="11" t="n">
        <v>45717</v>
      </c>
      <c r="B170" s="2" t="s">
        <v>143</v>
      </c>
      <c r="C170" s="2" t="s">
        <v>84</v>
      </c>
      <c r="D170" s="2" t="str">
        <f aca="false">INDEX(Léky!$B$2:$B$11,MATCH(C170,Léky!$A$2:$A$11,0))</f>
        <v>Amoxicilin 500 mg</v>
      </c>
      <c r="E170" s="2" t="str">
        <f aca="false">INDEX(Léky!$E$2:$E$11,MATCH(C170,Léky!$A$2:$A$11,0))</f>
        <v>Antibiotika</v>
      </c>
      <c r="F170" s="2" t="n">
        <v>1</v>
      </c>
      <c r="G170" s="5" t="n">
        <f aca="false">INDEX(Léky!$H$2:$H$11,MATCH(C170,Léky!$A$2:$A$11,0))</f>
        <v>120</v>
      </c>
      <c r="H170" s="5" t="n">
        <f aca="false">F170*G170</f>
        <v>120</v>
      </c>
    </row>
    <row r="171" customFormat="false" ht="15" hidden="false" customHeight="false" outlineLevel="0" collapsed="false">
      <c r="A171" s="11" t="n">
        <v>45717</v>
      </c>
      <c r="B171" s="2" t="s">
        <v>144</v>
      </c>
      <c r="C171" s="2" t="s">
        <v>63</v>
      </c>
      <c r="D171" s="2" t="str">
        <f aca="false">INDEX(Léky!$B$2:$B$11,MATCH(C171,Léky!$A$2:$A$11,0))</f>
        <v>Omeprazol 20 mg</v>
      </c>
      <c r="E171" s="2" t="str">
        <f aca="false">INDEX(Léky!$E$2:$E$11,MATCH(C171,Léky!$A$2:$A$11,0))</f>
        <v>Trávení</v>
      </c>
      <c r="F171" s="2" t="n">
        <v>1</v>
      </c>
      <c r="G171" s="5" t="n">
        <f aca="false">INDEX(Léky!$H$2:$H$11,MATCH(C171,Léky!$A$2:$A$11,0))</f>
        <v>135</v>
      </c>
      <c r="H171" s="5" t="n">
        <f aca="false">F171*G171</f>
        <v>135</v>
      </c>
    </row>
    <row r="172" customFormat="false" ht="15" hidden="false" customHeight="false" outlineLevel="0" collapsed="false">
      <c r="A172" s="11" t="n">
        <v>45717</v>
      </c>
      <c r="B172" s="2" t="s">
        <v>148</v>
      </c>
      <c r="C172" s="2" t="s">
        <v>76</v>
      </c>
      <c r="D172" s="2" t="str">
        <f aca="false">INDEX(Léky!$B$2:$B$11,MATCH(C172,Léky!$A$2:$A$11,0))</f>
        <v>Salbutamol inhalátor</v>
      </c>
      <c r="E172" s="2" t="str">
        <f aca="false">INDEX(Léky!$E$2:$E$11,MATCH(C172,Léky!$A$2:$A$11,0))</f>
        <v>Dýchací cesty</v>
      </c>
      <c r="F172" s="2" t="n">
        <v>1</v>
      </c>
      <c r="G172" s="5" t="n">
        <f aca="false">INDEX(Léky!$H$2:$H$11,MATCH(C172,Léky!$A$2:$A$11,0))</f>
        <v>165</v>
      </c>
      <c r="H172" s="5" t="n">
        <f aca="false">F172*G172</f>
        <v>165</v>
      </c>
    </row>
    <row r="173" customFormat="false" ht="15" hidden="false" customHeight="false" outlineLevel="0" collapsed="false">
      <c r="A173" s="11" t="n">
        <v>45717</v>
      </c>
      <c r="B173" s="2" t="s">
        <v>151</v>
      </c>
      <c r="C173" s="2" t="s">
        <v>63</v>
      </c>
      <c r="D173" s="2" t="str">
        <f aca="false">INDEX(Léky!$B$2:$B$11,MATCH(C173,Léky!$A$2:$A$11,0))</f>
        <v>Omeprazol 20 mg</v>
      </c>
      <c r="E173" s="2" t="str">
        <f aca="false">INDEX(Léky!$E$2:$E$11,MATCH(C173,Léky!$A$2:$A$11,0))</f>
        <v>Trávení</v>
      </c>
      <c r="F173" s="2" t="n">
        <v>1</v>
      </c>
      <c r="G173" s="5" t="n">
        <f aca="false">INDEX(Léky!$H$2:$H$11,MATCH(C173,Léky!$A$2:$A$11,0))</f>
        <v>135</v>
      </c>
      <c r="H173" s="5" t="n">
        <f aca="false">F173*G173</f>
        <v>135</v>
      </c>
    </row>
    <row r="174" customFormat="false" ht="15" hidden="false" customHeight="false" outlineLevel="0" collapsed="false">
      <c r="A174" s="11" t="n">
        <v>45717</v>
      </c>
      <c r="B174" s="2" t="s">
        <v>152</v>
      </c>
      <c r="C174" s="2" t="s">
        <v>53</v>
      </c>
      <c r="D174" s="2" t="str">
        <f aca="false">INDEX(Léky!$B$2:$B$11,MATCH(C174,Léky!$A$2:$A$11,0))</f>
        <v>Ramipril 5 mg</v>
      </c>
      <c r="E174" s="2" t="str">
        <f aca="false">INDEX(Léky!$E$2:$E$11,MATCH(C174,Léky!$A$2:$A$11,0))</f>
        <v>Krevní tlak</v>
      </c>
      <c r="F174" s="2" t="n">
        <v>1</v>
      </c>
      <c r="G174" s="5" t="n">
        <f aca="false">INDEX(Léky!$H$2:$H$11,MATCH(C174,Léky!$A$2:$A$11,0))</f>
        <v>98</v>
      </c>
      <c r="H174" s="5" t="n">
        <f aca="false">F174*G174</f>
        <v>98</v>
      </c>
    </row>
    <row r="175" customFormat="false" ht="15" hidden="false" customHeight="false" outlineLevel="0" collapsed="false">
      <c r="A175" s="11" t="n">
        <v>45717</v>
      </c>
      <c r="B175" s="2" t="s">
        <v>154</v>
      </c>
      <c r="C175" s="2" t="s">
        <v>48</v>
      </c>
      <c r="D175" s="2" t="str">
        <f aca="false">INDEX(Léky!$B$2:$B$11,MATCH(C175,Léky!$A$2:$A$11,0))</f>
        <v>Amlodipin 5 mg</v>
      </c>
      <c r="E175" s="2" t="str">
        <f aca="false">INDEX(Léky!$E$2:$E$11,MATCH(C175,Léky!$A$2:$A$11,0))</f>
        <v>Krevní tlak</v>
      </c>
      <c r="F175" s="2" t="n">
        <v>1</v>
      </c>
      <c r="G175" s="5" t="n">
        <f aca="false">INDEX(Léky!$H$2:$H$11,MATCH(C175,Léky!$A$2:$A$11,0))</f>
        <v>72</v>
      </c>
      <c r="H175" s="5" t="n">
        <f aca="false">F175*G175</f>
        <v>72</v>
      </c>
    </row>
    <row r="176" customFormat="false" ht="15" hidden="false" customHeight="false" outlineLevel="0" collapsed="false">
      <c r="A176" s="11" t="n">
        <v>45717</v>
      </c>
      <c r="B176" s="2" t="s">
        <v>154</v>
      </c>
      <c r="C176" s="2" t="s">
        <v>84</v>
      </c>
      <c r="D176" s="2" t="str">
        <f aca="false">INDEX(Léky!$B$2:$B$11,MATCH(C176,Léky!$A$2:$A$11,0))</f>
        <v>Amoxicilin 500 mg</v>
      </c>
      <c r="E176" s="2" t="str">
        <f aca="false">INDEX(Léky!$E$2:$E$11,MATCH(C176,Léky!$A$2:$A$11,0))</f>
        <v>Antibiotika</v>
      </c>
      <c r="F176" s="2" t="n">
        <v>1</v>
      </c>
      <c r="G176" s="5" t="n">
        <f aca="false">INDEX(Léky!$H$2:$H$11,MATCH(C176,Léky!$A$2:$A$11,0))</f>
        <v>120</v>
      </c>
      <c r="H176" s="5" t="n">
        <f aca="false">F176*G176</f>
        <v>120</v>
      </c>
    </row>
    <row r="177" customFormat="false" ht="15" hidden="false" customHeight="false" outlineLevel="0" collapsed="false">
      <c r="A177" s="11" t="n">
        <v>45717</v>
      </c>
      <c r="B177" s="2" t="s">
        <v>155</v>
      </c>
      <c r="C177" s="2" t="s">
        <v>42</v>
      </c>
      <c r="D177" s="2" t="str">
        <f aca="false">INDEX(Léky!$B$2:$B$11,MATCH(C177,Léky!$A$2:$A$11,0))</f>
        <v>Atorvastatin 20 mg</v>
      </c>
      <c r="E177" s="2" t="str">
        <f aca="false">INDEX(Léky!$E$2:$E$11,MATCH(C177,Léky!$A$2:$A$11,0))</f>
        <v>Cholesterol</v>
      </c>
      <c r="F177" s="2" t="n">
        <v>1</v>
      </c>
      <c r="G177" s="5" t="n">
        <f aca="false">INDEX(Léky!$H$2:$H$11,MATCH(C177,Léky!$A$2:$A$11,0))</f>
        <v>145</v>
      </c>
      <c r="H177" s="5" t="n">
        <f aca="false">F177*G177</f>
        <v>145</v>
      </c>
    </row>
    <row r="178" customFormat="false" ht="15" hidden="false" customHeight="false" outlineLevel="0" collapsed="false">
      <c r="A178" s="11" t="n">
        <v>45717</v>
      </c>
      <c r="B178" s="2" t="s">
        <v>155</v>
      </c>
      <c r="C178" s="2" t="s">
        <v>48</v>
      </c>
      <c r="D178" s="2" t="str">
        <f aca="false">INDEX(Léky!$B$2:$B$11,MATCH(C178,Léky!$A$2:$A$11,0))</f>
        <v>Amlodipin 5 mg</v>
      </c>
      <c r="E178" s="2" t="str">
        <f aca="false">INDEX(Léky!$E$2:$E$11,MATCH(C178,Léky!$A$2:$A$11,0))</f>
        <v>Krevní tlak</v>
      </c>
      <c r="F178" s="2" t="n">
        <v>1</v>
      </c>
      <c r="G178" s="5" t="n">
        <f aca="false">INDEX(Léky!$H$2:$H$11,MATCH(C178,Léky!$A$2:$A$11,0))</f>
        <v>72</v>
      </c>
      <c r="H178" s="5" t="n">
        <f aca="false">F178*G178</f>
        <v>72</v>
      </c>
    </row>
    <row r="179" customFormat="false" ht="15" hidden="false" customHeight="false" outlineLevel="0" collapsed="false">
      <c r="A179" s="11" t="n">
        <v>45717</v>
      </c>
      <c r="B179" s="2" t="s">
        <v>156</v>
      </c>
      <c r="C179" s="2" t="s">
        <v>42</v>
      </c>
      <c r="D179" s="2" t="str">
        <f aca="false">INDEX(Léky!$B$2:$B$11,MATCH(C179,Léky!$A$2:$A$11,0))</f>
        <v>Atorvastatin 20 mg</v>
      </c>
      <c r="E179" s="2" t="str">
        <f aca="false">INDEX(Léky!$E$2:$E$11,MATCH(C179,Léky!$A$2:$A$11,0))</f>
        <v>Cholesterol</v>
      </c>
      <c r="F179" s="2" t="n">
        <v>1</v>
      </c>
      <c r="G179" s="5" t="n">
        <f aca="false">INDEX(Léky!$H$2:$H$11,MATCH(C179,Léky!$A$2:$A$11,0))</f>
        <v>145</v>
      </c>
      <c r="H179" s="5" t="n">
        <f aca="false">F179*G179</f>
        <v>145</v>
      </c>
    </row>
    <row r="180" customFormat="false" ht="15" hidden="false" customHeight="false" outlineLevel="0" collapsed="false">
      <c r="A180" s="11" t="n">
        <v>45717</v>
      </c>
      <c r="B180" s="2" t="s">
        <v>156</v>
      </c>
      <c r="C180" s="2" t="s">
        <v>53</v>
      </c>
      <c r="D180" s="2" t="str">
        <f aca="false">INDEX(Léky!$B$2:$B$11,MATCH(C180,Léky!$A$2:$A$11,0))</f>
        <v>Ramipril 5 mg</v>
      </c>
      <c r="E180" s="2" t="str">
        <f aca="false">INDEX(Léky!$E$2:$E$11,MATCH(C180,Léky!$A$2:$A$11,0))</f>
        <v>Krevní tlak</v>
      </c>
      <c r="F180" s="2" t="n">
        <v>1</v>
      </c>
      <c r="G180" s="5" t="n">
        <f aca="false">INDEX(Léky!$H$2:$H$11,MATCH(C180,Léky!$A$2:$A$11,0))</f>
        <v>98</v>
      </c>
      <c r="H180" s="5" t="n">
        <f aca="false">F180*G180</f>
        <v>98</v>
      </c>
    </row>
    <row r="181" customFormat="false" ht="15" hidden="false" customHeight="false" outlineLevel="0" collapsed="false">
      <c r="A181" s="11" t="n">
        <v>45717</v>
      </c>
      <c r="B181" s="2" t="s">
        <v>156</v>
      </c>
      <c r="C181" s="2" t="s">
        <v>63</v>
      </c>
      <c r="D181" s="2" t="str">
        <f aca="false">INDEX(Léky!$B$2:$B$11,MATCH(C181,Léky!$A$2:$A$11,0))</f>
        <v>Omeprazol 20 mg</v>
      </c>
      <c r="E181" s="2" t="str">
        <f aca="false">INDEX(Léky!$E$2:$E$11,MATCH(C181,Léky!$A$2:$A$11,0))</f>
        <v>Trávení</v>
      </c>
      <c r="F181" s="2" t="n">
        <v>1</v>
      </c>
      <c r="G181" s="5" t="n">
        <f aca="false">INDEX(Léky!$H$2:$H$11,MATCH(C181,Léky!$A$2:$A$11,0))</f>
        <v>135</v>
      </c>
      <c r="H181" s="5" t="n">
        <f aca="false">F181*G181</f>
        <v>135</v>
      </c>
    </row>
    <row r="182" customFormat="false" ht="15" hidden="false" customHeight="false" outlineLevel="0" collapsed="false">
      <c r="A182" s="11" t="n">
        <v>45717</v>
      </c>
      <c r="B182" s="2" t="s">
        <v>159</v>
      </c>
      <c r="C182" s="2" t="s">
        <v>57</v>
      </c>
      <c r="D182" s="2" t="str">
        <f aca="false">INDEX(Léky!$B$2:$B$11,MATCH(C182,Léky!$A$2:$A$11,0))</f>
        <v>Levothyroxin 50 µg</v>
      </c>
      <c r="E182" s="2" t="str">
        <f aca="false">INDEX(Léky!$E$2:$E$11,MATCH(C182,Léky!$A$2:$A$11,0))</f>
        <v>Štítná žláza</v>
      </c>
      <c r="F182" s="2" t="n">
        <v>1</v>
      </c>
      <c r="G182" s="5" t="n">
        <f aca="false">INDEX(Léky!$H$2:$H$11,MATCH(C182,Léky!$A$2:$A$11,0))</f>
        <v>118</v>
      </c>
      <c r="H182" s="5" t="n">
        <f aca="false">F182*G182</f>
        <v>118</v>
      </c>
    </row>
    <row r="183" customFormat="false" ht="15" hidden="false" customHeight="false" outlineLevel="0" collapsed="false">
      <c r="A183" s="11" t="n">
        <v>45717</v>
      </c>
      <c r="B183" s="2" t="s">
        <v>159</v>
      </c>
      <c r="C183" s="2" t="s">
        <v>84</v>
      </c>
      <c r="D183" s="2" t="str">
        <f aca="false">INDEX(Léky!$B$2:$B$11,MATCH(C183,Léky!$A$2:$A$11,0))</f>
        <v>Amoxicilin 500 mg</v>
      </c>
      <c r="E183" s="2" t="str">
        <f aca="false">INDEX(Léky!$E$2:$E$11,MATCH(C183,Léky!$A$2:$A$11,0))</f>
        <v>Antibiotika</v>
      </c>
      <c r="F183" s="2" t="n">
        <v>1</v>
      </c>
      <c r="G183" s="5" t="n">
        <f aca="false">INDEX(Léky!$H$2:$H$11,MATCH(C183,Léky!$A$2:$A$11,0))</f>
        <v>120</v>
      </c>
      <c r="H183" s="5" t="n">
        <f aca="false">F183*G183</f>
        <v>120</v>
      </c>
    </row>
    <row r="184" customFormat="false" ht="15" hidden="false" customHeight="false" outlineLevel="0" collapsed="false">
      <c r="A184" s="11" t="n">
        <v>45717</v>
      </c>
      <c r="B184" s="2" t="s">
        <v>160</v>
      </c>
      <c r="C184" s="2" t="s">
        <v>48</v>
      </c>
      <c r="D184" s="2" t="str">
        <f aca="false">INDEX(Léky!$B$2:$B$11,MATCH(C184,Léky!$A$2:$A$11,0))</f>
        <v>Amlodipin 5 mg</v>
      </c>
      <c r="E184" s="2" t="str">
        <f aca="false">INDEX(Léky!$E$2:$E$11,MATCH(C184,Léky!$A$2:$A$11,0))</f>
        <v>Krevní tlak</v>
      </c>
      <c r="F184" s="2" t="n">
        <v>1</v>
      </c>
      <c r="G184" s="5" t="n">
        <f aca="false">INDEX(Léky!$H$2:$H$11,MATCH(C184,Léky!$A$2:$A$11,0))</f>
        <v>72</v>
      </c>
      <c r="H184" s="5" t="n">
        <f aca="false">F184*G184</f>
        <v>72</v>
      </c>
    </row>
    <row r="185" customFormat="false" ht="15" hidden="false" customHeight="false" outlineLevel="0" collapsed="false">
      <c r="A185" s="11" t="n">
        <v>45717</v>
      </c>
      <c r="B185" s="2" t="s">
        <v>160</v>
      </c>
      <c r="C185" s="2" t="s">
        <v>57</v>
      </c>
      <c r="D185" s="2" t="str">
        <f aca="false">INDEX(Léky!$B$2:$B$11,MATCH(C185,Léky!$A$2:$A$11,0))</f>
        <v>Levothyroxin 50 µg</v>
      </c>
      <c r="E185" s="2" t="str">
        <f aca="false">INDEX(Léky!$E$2:$E$11,MATCH(C185,Léky!$A$2:$A$11,0))</f>
        <v>Štítná žláza</v>
      </c>
      <c r="F185" s="2" t="n">
        <v>1</v>
      </c>
      <c r="G185" s="5" t="n">
        <f aca="false">INDEX(Léky!$H$2:$H$11,MATCH(C185,Léky!$A$2:$A$11,0))</f>
        <v>118</v>
      </c>
      <c r="H185" s="5" t="n">
        <f aca="false">F185*G185</f>
        <v>118</v>
      </c>
    </row>
    <row r="186" customFormat="false" ht="15" hidden="false" customHeight="false" outlineLevel="0" collapsed="false">
      <c r="A186" s="11" t="n">
        <v>45717</v>
      </c>
      <c r="B186" s="2" t="s">
        <v>161</v>
      </c>
      <c r="C186" s="2" t="s">
        <v>34</v>
      </c>
      <c r="D186" s="2" t="str">
        <f aca="false">INDEX(Léky!$B$2:$B$11,MATCH(C186,Léky!$A$2:$A$11,0))</f>
        <v>Metformin 500 mg</v>
      </c>
      <c r="E186" s="2" t="str">
        <f aca="false">INDEX(Léky!$E$2:$E$11,MATCH(C186,Léky!$A$2:$A$11,0))</f>
        <v>Diabetes</v>
      </c>
      <c r="F186" s="2" t="n">
        <v>1</v>
      </c>
      <c r="G186" s="5" t="n">
        <f aca="false">INDEX(Léky!$H$2:$H$11,MATCH(C186,Léky!$A$2:$A$11,0))</f>
        <v>89</v>
      </c>
      <c r="H186" s="5" t="n">
        <f aca="false">F186*G186</f>
        <v>89</v>
      </c>
    </row>
    <row r="187" customFormat="false" ht="15" hidden="false" customHeight="false" outlineLevel="0" collapsed="false">
      <c r="A187" s="11" t="n">
        <v>45717</v>
      </c>
      <c r="B187" s="2" t="s">
        <v>161</v>
      </c>
      <c r="C187" s="2" t="s">
        <v>53</v>
      </c>
      <c r="D187" s="2" t="str">
        <f aca="false">INDEX(Léky!$B$2:$B$11,MATCH(C187,Léky!$A$2:$A$11,0))</f>
        <v>Ramipril 5 mg</v>
      </c>
      <c r="E187" s="2" t="str">
        <f aca="false">INDEX(Léky!$E$2:$E$11,MATCH(C187,Léky!$A$2:$A$11,0))</f>
        <v>Krevní tlak</v>
      </c>
      <c r="F187" s="2" t="n">
        <v>1</v>
      </c>
      <c r="G187" s="5" t="n">
        <f aca="false">INDEX(Léky!$H$2:$H$11,MATCH(C187,Léky!$A$2:$A$11,0))</f>
        <v>98</v>
      </c>
      <c r="H187" s="5" t="n">
        <f aca="false">F187*G187</f>
        <v>98</v>
      </c>
    </row>
    <row r="188" customFormat="false" ht="15" hidden="false" customHeight="false" outlineLevel="0" collapsed="false">
      <c r="A188" s="11" t="n">
        <v>45717</v>
      </c>
      <c r="B188" s="2" t="s">
        <v>161</v>
      </c>
      <c r="C188" s="2" t="s">
        <v>57</v>
      </c>
      <c r="D188" s="2" t="str">
        <f aca="false">INDEX(Léky!$B$2:$B$11,MATCH(C188,Léky!$A$2:$A$11,0))</f>
        <v>Levothyroxin 50 µg</v>
      </c>
      <c r="E188" s="2" t="str">
        <f aca="false">INDEX(Léky!$E$2:$E$11,MATCH(C188,Léky!$A$2:$A$11,0))</f>
        <v>Štítná žláza</v>
      </c>
      <c r="F188" s="2" t="n">
        <v>1</v>
      </c>
      <c r="G188" s="5" t="n">
        <f aca="false">INDEX(Léky!$H$2:$H$11,MATCH(C188,Léky!$A$2:$A$11,0))</f>
        <v>118</v>
      </c>
      <c r="H188" s="5" t="n">
        <f aca="false">F188*G188</f>
        <v>118</v>
      </c>
    </row>
    <row r="189" customFormat="false" ht="15" hidden="false" customHeight="false" outlineLevel="0" collapsed="false">
      <c r="A189" s="11" t="n">
        <v>45717</v>
      </c>
      <c r="B189" s="2" t="s">
        <v>164</v>
      </c>
      <c r="C189" s="2" t="s">
        <v>91</v>
      </c>
      <c r="D189" s="2" t="str">
        <f aca="false">INDEX(Léky!$B$2:$B$11,MATCH(C189,Léky!$A$2:$A$11,0))</f>
        <v>Ibuprofen 400 mg</v>
      </c>
      <c r="E189" s="2" t="str">
        <f aca="false">INDEX(Léky!$E$2:$E$11,MATCH(C189,Léky!$A$2:$A$11,0))</f>
        <v>Bolest</v>
      </c>
      <c r="F189" s="2" t="n">
        <v>1</v>
      </c>
      <c r="G189" s="5" t="n">
        <f aca="false">INDEX(Léky!$H$2:$H$11,MATCH(C189,Léky!$A$2:$A$11,0))</f>
        <v>65</v>
      </c>
      <c r="H189" s="5" t="n">
        <f aca="false">F189*G189</f>
        <v>65</v>
      </c>
    </row>
    <row r="190" customFormat="false" ht="15" hidden="false" customHeight="false" outlineLevel="0" collapsed="false">
      <c r="A190" s="11" t="n">
        <v>45717</v>
      </c>
      <c r="B190" s="2" t="s">
        <v>165</v>
      </c>
      <c r="C190" s="2" t="s">
        <v>84</v>
      </c>
      <c r="D190" s="2" t="str">
        <f aca="false">INDEX(Léky!$B$2:$B$11,MATCH(C190,Léky!$A$2:$A$11,0))</f>
        <v>Amoxicilin 500 mg</v>
      </c>
      <c r="E190" s="2" t="str">
        <f aca="false">INDEX(Léky!$E$2:$E$11,MATCH(C190,Léky!$A$2:$A$11,0))</f>
        <v>Antibiotika</v>
      </c>
      <c r="F190" s="2" t="n">
        <v>1</v>
      </c>
      <c r="G190" s="5" t="n">
        <f aca="false">INDEX(Léky!$H$2:$H$11,MATCH(C190,Léky!$A$2:$A$11,0))</f>
        <v>120</v>
      </c>
      <c r="H190" s="5" t="n">
        <f aca="false">F190*G190</f>
        <v>120</v>
      </c>
    </row>
    <row r="191" customFormat="false" ht="15" hidden="false" customHeight="false" outlineLevel="0" collapsed="false">
      <c r="A191" s="11" t="n">
        <v>45717</v>
      </c>
      <c r="B191" s="2" t="s">
        <v>166</v>
      </c>
      <c r="C191" s="2" t="s">
        <v>57</v>
      </c>
      <c r="D191" s="2" t="str">
        <f aca="false">INDEX(Léky!$B$2:$B$11,MATCH(C191,Léky!$A$2:$A$11,0))</f>
        <v>Levothyroxin 50 µg</v>
      </c>
      <c r="E191" s="2" t="str">
        <f aca="false">INDEX(Léky!$E$2:$E$11,MATCH(C191,Léky!$A$2:$A$11,0))</f>
        <v>Štítná žláza</v>
      </c>
      <c r="F191" s="2" t="n">
        <v>1</v>
      </c>
      <c r="G191" s="5" t="n">
        <f aca="false">INDEX(Léky!$H$2:$H$11,MATCH(C191,Léky!$A$2:$A$11,0))</f>
        <v>118</v>
      </c>
      <c r="H191" s="5" t="n">
        <f aca="false">F191*G191</f>
        <v>118</v>
      </c>
    </row>
    <row r="192" customFormat="false" ht="15" hidden="false" customHeight="false" outlineLevel="0" collapsed="false">
      <c r="A192" s="11" t="n">
        <v>45717</v>
      </c>
      <c r="B192" s="2" t="s">
        <v>167</v>
      </c>
      <c r="C192" s="2" t="s">
        <v>53</v>
      </c>
      <c r="D192" s="2" t="str">
        <f aca="false">INDEX(Léky!$B$2:$B$11,MATCH(C192,Léky!$A$2:$A$11,0))</f>
        <v>Ramipril 5 mg</v>
      </c>
      <c r="E192" s="2" t="str">
        <f aca="false">INDEX(Léky!$E$2:$E$11,MATCH(C192,Léky!$A$2:$A$11,0))</f>
        <v>Krevní tlak</v>
      </c>
      <c r="F192" s="2" t="n">
        <v>1</v>
      </c>
      <c r="G192" s="5" t="n">
        <f aca="false">INDEX(Léky!$H$2:$H$11,MATCH(C192,Léky!$A$2:$A$11,0))</f>
        <v>98</v>
      </c>
      <c r="H192" s="5" t="n">
        <f aca="false">F192*G192</f>
        <v>98</v>
      </c>
    </row>
    <row r="193" customFormat="false" ht="15" hidden="false" customHeight="false" outlineLevel="0" collapsed="false">
      <c r="A193" s="11" t="n">
        <v>45717</v>
      </c>
      <c r="B193" s="2" t="s">
        <v>168</v>
      </c>
      <c r="C193" s="2" t="s">
        <v>34</v>
      </c>
      <c r="D193" s="2" t="str">
        <f aca="false">INDEX(Léky!$B$2:$B$11,MATCH(C193,Léky!$A$2:$A$11,0))</f>
        <v>Metformin 500 mg</v>
      </c>
      <c r="E193" s="2" t="str">
        <f aca="false">INDEX(Léky!$E$2:$E$11,MATCH(C193,Léky!$A$2:$A$11,0))</f>
        <v>Diabetes</v>
      </c>
      <c r="F193" s="2" t="n">
        <v>2</v>
      </c>
      <c r="G193" s="5" t="n">
        <f aca="false">INDEX(Léky!$H$2:$H$11,MATCH(C193,Léky!$A$2:$A$11,0))</f>
        <v>89</v>
      </c>
      <c r="H193" s="5" t="n">
        <f aca="false">F193*G193</f>
        <v>178</v>
      </c>
    </row>
    <row r="194" customFormat="false" ht="15" hidden="false" customHeight="false" outlineLevel="0" collapsed="false">
      <c r="A194" s="11" t="n">
        <v>45717</v>
      </c>
      <c r="B194" s="2" t="s">
        <v>168</v>
      </c>
      <c r="C194" s="2" t="s">
        <v>84</v>
      </c>
      <c r="D194" s="2" t="str">
        <f aca="false">INDEX(Léky!$B$2:$B$11,MATCH(C194,Léky!$A$2:$A$11,0))</f>
        <v>Amoxicilin 500 mg</v>
      </c>
      <c r="E194" s="2" t="str">
        <f aca="false">INDEX(Léky!$E$2:$E$11,MATCH(C194,Léky!$A$2:$A$11,0))</f>
        <v>Antibiotika</v>
      </c>
      <c r="F194" s="2" t="n">
        <v>1</v>
      </c>
      <c r="G194" s="5" t="n">
        <f aca="false">INDEX(Léky!$H$2:$H$11,MATCH(C194,Léky!$A$2:$A$11,0))</f>
        <v>120</v>
      </c>
      <c r="H194" s="5" t="n">
        <f aca="false">F194*G194</f>
        <v>120</v>
      </c>
    </row>
    <row r="195" customFormat="false" ht="15" hidden="false" customHeight="false" outlineLevel="0" collapsed="false">
      <c r="A195" s="11" t="n">
        <v>45717</v>
      </c>
      <c r="B195" s="2" t="s">
        <v>169</v>
      </c>
      <c r="C195" s="2" t="s">
        <v>63</v>
      </c>
      <c r="D195" s="2" t="str">
        <f aca="false">INDEX(Léky!$B$2:$B$11,MATCH(C195,Léky!$A$2:$A$11,0))</f>
        <v>Omeprazol 20 mg</v>
      </c>
      <c r="E195" s="2" t="str">
        <f aca="false">INDEX(Léky!$E$2:$E$11,MATCH(C195,Léky!$A$2:$A$11,0))</f>
        <v>Trávení</v>
      </c>
      <c r="F195" s="2" t="n">
        <v>1</v>
      </c>
      <c r="G195" s="5" t="n">
        <f aca="false">INDEX(Léky!$H$2:$H$11,MATCH(C195,Léky!$A$2:$A$11,0))</f>
        <v>135</v>
      </c>
      <c r="H195" s="5" t="n">
        <f aca="false">F195*G195</f>
        <v>135</v>
      </c>
    </row>
    <row r="196" customFormat="false" ht="15" hidden="false" customHeight="false" outlineLevel="0" collapsed="false">
      <c r="A196" s="11" t="n">
        <v>45717</v>
      </c>
      <c r="B196" s="2" t="s">
        <v>170</v>
      </c>
      <c r="C196" s="2" t="s">
        <v>63</v>
      </c>
      <c r="D196" s="2" t="str">
        <f aca="false">INDEX(Léky!$B$2:$B$11,MATCH(C196,Léky!$A$2:$A$11,0))</f>
        <v>Omeprazol 20 mg</v>
      </c>
      <c r="E196" s="2" t="str">
        <f aca="false">INDEX(Léky!$E$2:$E$11,MATCH(C196,Léky!$A$2:$A$11,0))</f>
        <v>Trávení</v>
      </c>
      <c r="F196" s="2" t="n">
        <v>1</v>
      </c>
      <c r="G196" s="5" t="n">
        <f aca="false">INDEX(Léky!$H$2:$H$11,MATCH(C196,Léky!$A$2:$A$11,0))</f>
        <v>135</v>
      </c>
      <c r="H196" s="5" t="n">
        <f aca="false">F196*G196</f>
        <v>135</v>
      </c>
    </row>
    <row r="197" customFormat="false" ht="15" hidden="false" customHeight="false" outlineLevel="0" collapsed="false">
      <c r="A197" s="11" t="n">
        <v>45717</v>
      </c>
      <c r="B197" s="2" t="s">
        <v>170</v>
      </c>
      <c r="C197" s="2" t="s">
        <v>84</v>
      </c>
      <c r="D197" s="2" t="str">
        <f aca="false">INDEX(Léky!$B$2:$B$11,MATCH(C197,Léky!$A$2:$A$11,0))</f>
        <v>Amoxicilin 500 mg</v>
      </c>
      <c r="E197" s="2" t="str">
        <f aca="false">INDEX(Léky!$E$2:$E$11,MATCH(C197,Léky!$A$2:$A$11,0))</f>
        <v>Antibiotika</v>
      </c>
      <c r="F197" s="2" t="n">
        <v>1</v>
      </c>
      <c r="G197" s="5" t="n">
        <f aca="false">INDEX(Léky!$H$2:$H$11,MATCH(C197,Léky!$A$2:$A$11,0))</f>
        <v>120</v>
      </c>
      <c r="H197" s="5" t="n">
        <f aca="false">F197*G197</f>
        <v>120</v>
      </c>
    </row>
    <row r="198" customFormat="false" ht="15" hidden="false" customHeight="false" outlineLevel="0" collapsed="false">
      <c r="A198" s="11" t="n">
        <v>45717</v>
      </c>
      <c r="B198" s="2" t="s">
        <v>171</v>
      </c>
      <c r="C198" s="2" t="s">
        <v>34</v>
      </c>
      <c r="D198" s="2" t="str">
        <f aca="false">INDEX(Léky!$B$2:$B$11,MATCH(C198,Léky!$A$2:$A$11,0))</f>
        <v>Metformin 500 mg</v>
      </c>
      <c r="E198" s="2" t="str">
        <f aca="false">INDEX(Léky!$E$2:$E$11,MATCH(C198,Léky!$A$2:$A$11,0))</f>
        <v>Diabetes</v>
      </c>
      <c r="F198" s="2" t="n">
        <v>2</v>
      </c>
      <c r="G198" s="5" t="n">
        <f aca="false">INDEX(Léky!$H$2:$H$11,MATCH(C198,Léky!$A$2:$A$11,0))</f>
        <v>89</v>
      </c>
      <c r="H198" s="5" t="n">
        <f aca="false">F198*G198</f>
        <v>178</v>
      </c>
    </row>
    <row r="199" customFormat="false" ht="15" hidden="false" customHeight="false" outlineLevel="0" collapsed="false">
      <c r="A199" s="11" t="n">
        <v>45717</v>
      </c>
      <c r="B199" s="2" t="s">
        <v>171</v>
      </c>
      <c r="C199" s="2" t="s">
        <v>48</v>
      </c>
      <c r="D199" s="2" t="str">
        <f aca="false">INDEX(Léky!$B$2:$B$11,MATCH(C199,Léky!$A$2:$A$11,0))</f>
        <v>Amlodipin 5 mg</v>
      </c>
      <c r="E199" s="2" t="str">
        <f aca="false">INDEX(Léky!$E$2:$E$11,MATCH(C199,Léky!$A$2:$A$11,0))</f>
        <v>Krevní tlak</v>
      </c>
      <c r="F199" s="2" t="n">
        <v>1</v>
      </c>
      <c r="G199" s="5" t="n">
        <f aca="false">INDEX(Léky!$H$2:$H$11,MATCH(C199,Léky!$A$2:$A$11,0))</f>
        <v>72</v>
      </c>
      <c r="H199" s="5" t="n">
        <f aca="false">F199*G199</f>
        <v>72</v>
      </c>
    </row>
    <row r="200" customFormat="false" ht="15" hidden="false" customHeight="false" outlineLevel="0" collapsed="false">
      <c r="A200" s="11" t="n">
        <v>45717</v>
      </c>
      <c r="B200" s="2" t="s">
        <v>171</v>
      </c>
      <c r="C200" s="2" t="s">
        <v>57</v>
      </c>
      <c r="D200" s="2" t="str">
        <f aca="false">INDEX(Léky!$B$2:$B$11,MATCH(C200,Léky!$A$2:$A$11,0))</f>
        <v>Levothyroxin 50 µg</v>
      </c>
      <c r="E200" s="2" t="str">
        <f aca="false">INDEX(Léky!$E$2:$E$11,MATCH(C200,Léky!$A$2:$A$11,0))</f>
        <v>Štítná žláza</v>
      </c>
      <c r="F200" s="2" t="n">
        <v>1</v>
      </c>
      <c r="G200" s="5" t="n">
        <f aca="false">INDEX(Léky!$H$2:$H$11,MATCH(C200,Léky!$A$2:$A$11,0))</f>
        <v>118</v>
      </c>
      <c r="H200" s="5" t="n">
        <f aca="false">F200*G200</f>
        <v>118</v>
      </c>
    </row>
    <row r="201" customFormat="false" ht="15" hidden="false" customHeight="false" outlineLevel="0" collapsed="false">
      <c r="A201" s="11" t="n">
        <v>45717</v>
      </c>
      <c r="B201" s="2" t="s">
        <v>171</v>
      </c>
      <c r="C201" s="2" t="s">
        <v>91</v>
      </c>
      <c r="D201" s="2" t="str">
        <f aca="false">INDEX(Léky!$B$2:$B$11,MATCH(C201,Léky!$A$2:$A$11,0))</f>
        <v>Ibuprofen 400 mg</v>
      </c>
      <c r="E201" s="2" t="str">
        <f aca="false">INDEX(Léky!$E$2:$E$11,MATCH(C201,Léky!$A$2:$A$11,0))</f>
        <v>Bolest</v>
      </c>
      <c r="F201" s="2" t="n">
        <v>1</v>
      </c>
      <c r="G201" s="5" t="n">
        <f aca="false">INDEX(Léky!$H$2:$H$11,MATCH(C201,Léky!$A$2:$A$11,0))</f>
        <v>65</v>
      </c>
      <c r="H201" s="5" t="n">
        <f aca="false">F201*G201</f>
        <v>65</v>
      </c>
    </row>
    <row r="202" customFormat="false" ht="15" hidden="false" customHeight="false" outlineLevel="0" collapsed="false">
      <c r="A202" s="11" t="n">
        <v>45717</v>
      </c>
      <c r="B202" s="2" t="s">
        <v>173</v>
      </c>
      <c r="C202" s="2" t="s">
        <v>53</v>
      </c>
      <c r="D202" s="2" t="str">
        <f aca="false">INDEX(Léky!$B$2:$B$11,MATCH(C202,Léky!$A$2:$A$11,0))</f>
        <v>Ramipril 5 mg</v>
      </c>
      <c r="E202" s="2" t="str">
        <f aca="false">INDEX(Léky!$E$2:$E$11,MATCH(C202,Léky!$A$2:$A$11,0))</f>
        <v>Krevní tlak</v>
      </c>
      <c r="F202" s="2" t="n">
        <v>1</v>
      </c>
      <c r="G202" s="5" t="n">
        <f aca="false">INDEX(Léky!$H$2:$H$11,MATCH(C202,Léky!$A$2:$A$11,0))</f>
        <v>98</v>
      </c>
      <c r="H202" s="5" t="n">
        <f aca="false">F202*G202</f>
        <v>98</v>
      </c>
    </row>
    <row r="203" customFormat="false" ht="15" hidden="false" customHeight="false" outlineLevel="0" collapsed="false">
      <c r="A203" s="11" t="n">
        <v>45717</v>
      </c>
      <c r="B203" s="2" t="s">
        <v>173</v>
      </c>
      <c r="C203" s="2" t="s">
        <v>84</v>
      </c>
      <c r="D203" s="2" t="str">
        <f aca="false">INDEX(Léky!$B$2:$B$11,MATCH(C203,Léky!$A$2:$A$11,0))</f>
        <v>Amoxicilin 500 mg</v>
      </c>
      <c r="E203" s="2" t="str">
        <f aca="false">INDEX(Léky!$E$2:$E$11,MATCH(C203,Léky!$A$2:$A$11,0))</f>
        <v>Antibiotika</v>
      </c>
      <c r="F203" s="2" t="n">
        <v>1</v>
      </c>
      <c r="G203" s="5" t="n">
        <f aca="false">INDEX(Léky!$H$2:$H$11,MATCH(C203,Léky!$A$2:$A$11,0))</f>
        <v>120</v>
      </c>
      <c r="H203" s="5" t="n">
        <f aca="false">F203*G203</f>
        <v>120</v>
      </c>
    </row>
    <row r="204" customFormat="false" ht="15" hidden="false" customHeight="false" outlineLevel="0" collapsed="false">
      <c r="A204" s="11" t="n">
        <v>45717</v>
      </c>
      <c r="B204" s="2" t="s">
        <v>174</v>
      </c>
      <c r="C204" s="2" t="s">
        <v>48</v>
      </c>
      <c r="D204" s="2" t="str">
        <f aca="false">INDEX(Léky!$B$2:$B$11,MATCH(C204,Léky!$A$2:$A$11,0))</f>
        <v>Amlodipin 5 mg</v>
      </c>
      <c r="E204" s="2" t="str">
        <f aca="false">INDEX(Léky!$E$2:$E$11,MATCH(C204,Léky!$A$2:$A$11,0))</f>
        <v>Krevní tlak</v>
      </c>
      <c r="F204" s="2" t="n">
        <v>1</v>
      </c>
      <c r="G204" s="5" t="n">
        <f aca="false">INDEX(Léky!$H$2:$H$11,MATCH(C204,Léky!$A$2:$A$11,0))</f>
        <v>72</v>
      </c>
      <c r="H204" s="5" t="n">
        <f aca="false">F204*G204</f>
        <v>72</v>
      </c>
    </row>
    <row r="205" customFormat="false" ht="15" hidden="false" customHeight="false" outlineLevel="0" collapsed="false">
      <c r="A205" s="11" t="n">
        <v>45717</v>
      </c>
      <c r="B205" s="2" t="s">
        <v>174</v>
      </c>
      <c r="C205" s="2" t="s">
        <v>53</v>
      </c>
      <c r="D205" s="2" t="str">
        <f aca="false">INDEX(Léky!$B$2:$B$11,MATCH(C205,Léky!$A$2:$A$11,0))</f>
        <v>Ramipril 5 mg</v>
      </c>
      <c r="E205" s="2" t="str">
        <f aca="false">INDEX(Léky!$E$2:$E$11,MATCH(C205,Léky!$A$2:$A$11,0))</f>
        <v>Krevní tlak</v>
      </c>
      <c r="F205" s="2" t="n">
        <v>1</v>
      </c>
      <c r="G205" s="5" t="n">
        <f aca="false">INDEX(Léky!$H$2:$H$11,MATCH(C205,Léky!$A$2:$A$11,0))</f>
        <v>98</v>
      </c>
      <c r="H205" s="5" t="n">
        <f aca="false">F205*G205</f>
        <v>98</v>
      </c>
    </row>
    <row r="206" customFormat="false" ht="15" hidden="false" customHeight="false" outlineLevel="0" collapsed="false">
      <c r="A206" s="11" t="n">
        <v>45717</v>
      </c>
      <c r="B206" s="2" t="s">
        <v>175</v>
      </c>
      <c r="C206" s="2" t="s">
        <v>63</v>
      </c>
      <c r="D206" s="2" t="str">
        <f aca="false">INDEX(Léky!$B$2:$B$11,MATCH(C206,Léky!$A$2:$A$11,0))</f>
        <v>Omeprazol 20 mg</v>
      </c>
      <c r="E206" s="2" t="str">
        <f aca="false">INDEX(Léky!$E$2:$E$11,MATCH(C206,Léky!$A$2:$A$11,0))</f>
        <v>Trávení</v>
      </c>
      <c r="F206" s="2" t="n">
        <v>1</v>
      </c>
      <c r="G206" s="5" t="n">
        <f aca="false">INDEX(Léky!$H$2:$H$11,MATCH(C206,Léky!$A$2:$A$11,0))</f>
        <v>135</v>
      </c>
      <c r="H206" s="5" t="n">
        <f aca="false">F206*G206</f>
        <v>135</v>
      </c>
    </row>
    <row r="207" customFormat="false" ht="15" hidden="false" customHeight="false" outlineLevel="0" collapsed="false">
      <c r="A207" s="11" t="n">
        <v>45717</v>
      </c>
      <c r="B207" s="2" t="s">
        <v>175</v>
      </c>
      <c r="C207" s="2" t="s">
        <v>84</v>
      </c>
      <c r="D207" s="2" t="str">
        <f aca="false">INDEX(Léky!$B$2:$B$11,MATCH(C207,Léky!$A$2:$A$11,0))</f>
        <v>Amoxicilin 500 mg</v>
      </c>
      <c r="E207" s="2" t="str">
        <f aca="false">INDEX(Léky!$E$2:$E$11,MATCH(C207,Léky!$A$2:$A$11,0))</f>
        <v>Antibiotika</v>
      </c>
      <c r="F207" s="2" t="n">
        <v>1</v>
      </c>
      <c r="G207" s="5" t="n">
        <f aca="false">INDEX(Léky!$H$2:$H$11,MATCH(C207,Léky!$A$2:$A$11,0))</f>
        <v>120</v>
      </c>
      <c r="H207" s="5" t="n">
        <f aca="false">F207*G207</f>
        <v>120</v>
      </c>
    </row>
    <row r="208" customFormat="false" ht="15" hidden="false" customHeight="false" outlineLevel="0" collapsed="false">
      <c r="A208" s="11" t="n">
        <v>45748</v>
      </c>
      <c r="B208" s="2" t="s">
        <v>103</v>
      </c>
      <c r="C208" s="2" t="s">
        <v>34</v>
      </c>
      <c r="D208" s="2" t="str">
        <f aca="false">INDEX(Léky!$B$2:$B$11,MATCH(C208,Léky!$A$2:$A$11,0))</f>
        <v>Metformin 500 mg</v>
      </c>
      <c r="E208" s="2" t="str">
        <f aca="false">INDEX(Léky!$E$2:$E$11,MATCH(C208,Léky!$A$2:$A$11,0))</f>
        <v>Diabetes</v>
      </c>
      <c r="F208" s="2" t="n">
        <v>1</v>
      </c>
      <c r="G208" s="5" t="n">
        <f aca="false">INDEX(Léky!$H$2:$H$11,MATCH(C208,Léky!$A$2:$A$11,0))</f>
        <v>89</v>
      </c>
      <c r="H208" s="5" t="n">
        <f aca="false">F208*G208</f>
        <v>89</v>
      </c>
    </row>
    <row r="209" customFormat="false" ht="15" hidden="false" customHeight="false" outlineLevel="0" collapsed="false">
      <c r="A209" s="11" t="n">
        <v>45748</v>
      </c>
      <c r="B209" s="2" t="s">
        <v>110</v>
      </c>
      <c r="C209" s="2" t="s">
        <v>63</v>
      </c>
      <c r="D209" s="2" t="str">
        <f aca="false">INDEX(Léky!$B$2:$B$11,MATCH(C209,Léky!$A$2:$A$11,0))</f>
        <v>Omeprazol 20 mg</v>
      </c>
      <c r="E209" s="2" t="str">
        <f aca="false">INDEX(Léky!$E$2:$E$11,MATCH(C209,Léky!$A$2:$A$11,0))</f>
        <v>Trávení</v>
      </c>
      <c r="F209" s="2" t="n">
        <v>1</v>
      </c>
      <c r="G209" s="5" t="n">
        <f aca="false">INDEX(Léky!$H$2:$H$11,MATCH(C209,Léky!$A$2:$A$11,0))</f>
        <v>135</v>
      </c>
      <c r="H209" s="5" t="n">
        <f aca="false">F209*G209</f>
        <v>135</v>
      </c>
    </row>
    <row r="210" customFormat="false" ht="15" hidden="false" customHeight="false" outlineLevel="0" collapsed="false">
      <c r="A210" s="11" t="n">
        <v>45748</v>
      </c>
      <c r="B210" s="2" t="s">
        <v>114</v>
      </c>
      <c r="C210" s="2" t="s">
        <v>91</v>
      </c>
      <c r="D210" s="2" t="str">
        <f aca="false">INDEX(Léky!$B$2:$B$11,MATCH(C210,Léky!$A$2:$A$11,0))</f>
        <v>Ibuprofen 400 mg</v>
      </c>
      <c r="E210" s="2" t="str">
        <f aca="false">INDEX(Léky!$E$2:$E$11,MATCH(C210,Léky!$A$2:$A$11,0))</f>
        <v>Bolest</v>
      </c>
      <c r="F210" s="2" t="n">
        <v>1</v>
      </c>
      <c r="G210" s="5" t="n">
        <f aca="false">INDEX(Léky!$H$2:$H$11,MATCH(C210,Léky!$A$2:$A$11,0))</f>
        <v>65</v>
      </c>
      <c r="H210" s="5" t="n">
        <f aca="false">F210*G210</f>
        <v>65</v>
      </c>
    </row>
    <row r="211" customFormat="false" ht="15" hidden="false" customHeight="false" outlineLevel="0" collapsed="false">
      <c r="A211" s="11" t="n">
        <v>45748</v>
      </c>
      <c r="B211" s="2" t="s">
        <v>116</v>
      </c>
      <c r="C211" s="2" t="s">
        <v>91</v>
      </c>
      <c r="D211" s="2" t="str">
        <f aca="false">INDEX(Léky!$B$2:$B$11,MATCH(C211,Léky!$A$2:$A$11,0))</f>
        <v>Ibuprofen 400 mg</v>
      </c>
      <c r="E211" s="2" t="str">
        <f aca="false">INDEX(Léky!$E$2:$E$11,MATCH(C211,Léky!$A$2:$A$11,0))</f>
        <v>Bolest</v>
      </c>
      <c r="F211" s="2" t="n">
        <v>2</v>
      </c>
      <c r="G211" s="5" t="n">
        <f aca="false">INDEX(Léky!$H$2:$H$11,MATCH(C211,Léky!$A$2:$A$11,0))</f>
        <v>65</v>
      </c>
      <c r="H211" s="5" t="n">
        <f aca="false">F211*G211</f>
        <v>130</v>
      </c>
    </row>
    <row r="212" customFormat="false" ht="15" hidden="false" customHeight="false" outlineLevel="0" collapsed="false">
      <c r="A212" s="11" t="n">
        <v>45748</v>
      </c>
      <c r="B212" s="2" t="s">
        <v>118</v>
      </c>
      <c r="C212" s="2" t="s">
        <v>48</v>
      </c>
      <c r="D212" s="2" t="str">
        <f aca="false">INDEX(Léky!$B$2:$B$11,MATCH(C212,Léky!$A$2:$A$11,0))</f>
        <v>Amlodipin 5 mg</v>
      </c>
      <c r="E212" s="2" t="str">
        <f aca="false">INDEX(Léky!$E$2:$E$11,MATCH(C212,Léky!$A$2:$A$11,0))</f>
        <v>Krevní tlak</v>
      </c>
      <c r="F212" s="2" t="n">
        <v>1</v>
      </c>
      <c r="G212" s="5" t="n">
        <f aca="false">INDEX(Léky!$H$2:$H$11,MATCH(C212,Léky!$A$2:$A$11,0))</f>
        <v>72</v>
      </c>
      <c r="H212" s="5" t="n">
        <f aca="false">F212*G212</f>
        <v>72</v>
      </c>
    </row>
    <row r="213" customFormat="false" ht="15" hidden="false" customHeight="false" outlineLevel="0" collapsed="false">
      <c r="A213" s="11" t="n">
        <v>45748</v>
      </c>
      <c r="B213" s="2" t="s">
        <v>119</v>
      </c>
      <c r="C213" s="2" t="s">
        <v>70</v>
      </c>
      <c r="D213" s="2" t="str">
        <f aca="false">INDEX(Léky!$B$2:$B$11,MATCH(C213,Léky!$A$2:$A$11,0))</f>
        <v>Sertralin 50 mg</v>
      </c>
      <c r="E213" s="2" t="str">
        <f aca="false">INDEX(Léky!$E$2:$E$11,MATCH(C213,Léky!$A$2:$A$11,0))</f>
        <v>Psychiatrie</v>
      </c>
      <c r="F213" s="2" t="n">
        <v>1</v>
      </c>
      <c r="G213" s="5" t="n">
        <f aca="false">INDEX(Léky!$H$2:$H$11,MATCH(C213,Léky!$A$2:$A$11,0))</f>
        <v>210</v>
      </c>
      <c r="H213" s="5" t="n">
        <f aca="false">F213*G213</f>
        <v>210</v>
      </c>
    </row>
    <row r="214" customFormat="false" ht="15" hidden="false" customHeight="false" outlineLevel="0" collapsed="false">
      <c r="A214" s="11" t="n">
        <v>45748</v>
      </c>
      <c r="B214" s="2" t="s">
        <v>121</v>
      </c>
      <c r="C214" s="2" t="s">
        <v>76</v>
      </c>
      <c r="D214" s="2" t="str">
        <f aca="false">INDEX(Léky!$B$2:$B$11,MATCH(C214,Léky!$A$2:$A$11,0))</f>
        <v>Salbutamol inhalátor</v>
      </c>
      <c r="E214" s="2" t="str">
        <f aca="false">INDEX(Léky!$E$2:$E$11,MATCH(C214,Léky!$A$2:$A$11,0))</f>
        <v>Dýchací cesty</v>
      </c>
      <c r="F214" s="2" t="n">
        <v>1</v>
      </c>
      <c r="G214" s="5" t="n">
        <f aca="false">INDEX(Léky!$H$2:$H$11,MATCH(C214,Léky!$A$2:$A$11,0))</f>
        <v>165</v>
      </c>
      <c r="H214" s="5" t="n">
        <f aca="false">F214*G214</f>
        <v>165</v>
      </c>
    </row>
    <row r="215" customFormat="false" ht="15" hidden="false" customHeight="false" outlineLevel="0" collapsed="false">
      <c r="A215" s="11" t="n">
        <v>45748</v>
      </c>
      <c r="B215" s="2" t="s">
        <v>124</v>
      </c>
      <c r="C215" s="2" t="s">
        <v>48</v>
      </c>
      <c r="D215" s="2" t="str">
        <f aca="false">INDEX(Léky!$B$2:$B$11,MATCH(C215,Léky!$A$2:$A$11,0))</f>
        <v>Amlodipin 5 mg</v>
      </c>
      <c r="E215" s="2" t="str">
        <f aca="false">INDEX(Léky!$E$2:$E$11,MATCH(C215,Léky!$A$2:$A$11,0))</f>
        <v>Krevní tlak</v>
      </c>
      <c r="F215" s="2" t="n">
        <v>1</v>
      </c>
      <c r="G215" s="5" t="n">
        <f aca="false">INDEX(Léky!$H$2:$H$11,MATCH(C215,Léky!$A$2:$A$11,0))</f>
        <v>72</v>
      </c>
      <c r="H215" s="5" t="n">
        <f aca="false">F215*G215</f>
        <v>72</v>
      </c>
    </row>
    <row r="216" customFormat="false" ht="15" hidden="false" customHeight="false" outlineLevel="0" collapsed="false">
      <c r="A216" s="11" t="n">
        <v>45748</v>
      </c>
      <c r="B216" s="2" t="s">
        <v>124</v>
      </c>
      <c r="C216" s="2" t="s">
        <v>84</v>
      </c>
      <c r="D216" s="2" t="str">
        <f aca="false">INDEX(Léky!$B$2:$B$11,MATCH(C216,Léky!$A$2:$A$11,0))</f>
        <v>Amoxicilin 500 mg</v>
      </c>
      <c r="E216" s="2" t="str">
        <f aca="false">INDEX(Léky!$E$2:$E$11,MATCH(C216,Léky!$A$2:$A$11,0))</f>
        <v>Antibiotika</v>
      </c>
      <c r="F216" s="2" t="n">
        <v>1</v>
      </c>
      <c r="G216" s="5" t="n">
        <f aca="false">INDEX(Léky!$H$2:$H$11,MATCH(C216,Léky!$A$2:$A$11,0))</f>
        <v>120</v>
      </c>
      <c r="H216" s="5" t="n">
        <f aca="false">F216*G216</f>
        <v>120</v>
      </c>
    </row>
    <row r="217" customFormat="false" ht="15" hidden="false" customHeight="false" outlineLevel="0" collapsed="false">
      <c r="A217" s="11" t="n">
        <v>45748</v>
      </c>
      <c r="B217" s="2" t="s">
        <v>125</v>
      </c>
      <c r="C217" s="2" t="s">
        <v>70</v>
      </c>
      <c r="D217" s="2" t="str">
        <f aca="false">INDEX(Léky!$B$2:$B$11,MATCH(C217,Léky!$A$2:$A$11,0))</f>
        <v>Sertralin 50 mg</v>
      </c>
      <c r="E217" s="2" t="str">
        <f aca="false">INDEX(Léky!$E$2:$E$11,MATCH(C217,Léky!$A$2:$A$11,0))</f>
        <v>Psychiatrie</v>
      </c>
      <c r="F217" s="2" t="n">
        <v>1</v>
      </c>
      <c r="G217" s="5" t="n">
        <f aca="false">INDEX(Léky!$H$2:$H$11,MATCH(C217,Léky!$A$2:$A$11,0))</f>
        <v>210</v>
      </c>
      <c r="H217" s="5" t="n">
        <f aca="false">F217*G217</f>
        <v>210</v>
      </c>
    </row>
    <row r="218" customFormat="false" ht="15" hidden="false" customHeight="false" outlineLevel="0" collapsed="false">
      <c r="A218" s="11" t="n">
        <v>45748</v>
      </c>
      <c r="B218" s="2" t="s">
        <v>125</v>
      </c>
      <c r="C218" s="2" t="s">
        <v>91</v>
      </c>
      <c r="D218" s="2" t="str">
        <f aca="false">INDEX(Léky!$B$2:$B$11,MATCH(C218,Léky!$A$2:$A$11,0))</f>
        <v>Ibuprofen 400 mg</v>
      </c>
      <c r="E218" s="2" t="str">
        <f aca="false">INDEX(Léky!$E$2:$E$11,MATCH(C218,Léky!$A$2:$A$11,0))</f>
        <v>Bolest</v>
      </c>
      <c r="F218" s="2" t="n">
        <v>2</v>
      </c>
      <c r="G218" s="5" t="n">
        <f aca="false">INDEX(Léky!$H$2:$H$11,MATCH(C218,Léky!$A$2:$A$11,0))</f>
        <v>65</v>
      </c>
      <c r="H218" s="5" t="n">
        <f aca="false">F218*G218</f>
        <v>130</v>
      </c>
    </row>
    <row r="219" customFormat="false" ht="15" hidden="false" customHeight="false" outlineLevel="0" collapsed="false">
      <c r="A219" s="11" t="n">
        <v>45748</v>
      </c>
      <c r="B219" s="2" t="s">
        <v>127</v>
      </c>
      <c r="C219" s="2" t="s">
        <v>70</v>
      </c>
      <c r="D219" s="2" t="str">
        <f aca="false">INDEX(Léky!$B$2:$B$11,MATCH(C219,Léky!$A$2:$A$11,0))</f>
        <v>Sertralin 50 mg</v>
      </c>
      <c r="E219" s="2" t="str">
        <f aca="false">INDEX(Léky!$E$2:$E$11,MATCH(C219,Léky!$A$2:$A$11,0))</f>
        <v>Psychiatrie</v>
      </c>
      <c r="F219" s="2" t="n">
        <v>1</v>
      </c>
      <c r="G219" s="5" t="n">
        <f aca="false">INDEX(Léky!$H$2:$H$11,MATCH(C219,Léky!$A$2:$A$11,0))</f>
        <v>210</v>
      </c>
      <c r="H219" s="5" t="n">
        <f aca="false">F219*G219</f>
        <v>210</v>
      </c>
    </row>
    <row r="220" customFormat="false" ht="15" hidden="false" customHeight="false" outlineLevel="0" collapsed="false">
      <c r="A220" s="11" t="n">
        <v>45748</v>
      </c>
      <c r="B220" s="2" t="s">
        <v>127</v>
      </c>
      <c r="C220" s="2" t="s">
        <v>91</v>
      </c>
      <c r="D220" s="2" t="str">
        <f aca="false">INDEX(Léky!$B$2:$B$11,MATCH(C220,Léky!$A$2:$A$11,0))</f>
        <v>Ibuprofen 400 mg</v>
      </c>
      <c r="E220" s="2" t="str">
        <f aca="false">INDEX(Léky!$E$2:$E$11,MATCH(C220,Léky!$A$2:$A$11,0))</f>
        <v>Bolest</v>
      </c>
      <c r="F220" s="2" t="n">
        <v>1</v>
      </c>
      <c r="G220" s="5" t="n">
        <f aca="false">INDEX(Léky!$H$2:$H$11,MATCH(C220,Léky!$A$2:$A$11,0))</f>
        <v>65</v>
      </c>
      <c r="H220" s="5" t="n">
        <f aca="false">F220*G220</f>
        <v>65</v>
      </c>
    </row>
    <row r="221" customFormat="false" ht="15" hidden="false" customHeight="false" outlineLevel="0" collapsed="false">
      <c r="A221" s="11" t="n">
        <v>45748</v>
      </c>
      <c r="B221" s="2" t="s">
        <v>128</v>
      </c>
      <c r="C221" s="2" t="s">
        <v>53</v>
      </c>
      <c r="D221" s="2" t="str">
        <f aca="false">INDEX(Léky!$B$2:$B$11,MATCH(C221,Léky!$A$2:$A$11,0))</f>
        <v>Ramipril 5 mg</v>
      </c>
      <c r="E221" s="2" t="str">
        <f aca="false">INDEX(Léky!$E$2:$E$11,MATCH(C221,Léky!$A$2:$A$11,0))</f>
        <v>Krevní tlak</v>
      </c>
      <c r="F221" s="2" t="n">
        <v>1</v>
      </c>
      <c r="G221" s="5" t="n">
        <f aca="false">INDEX(Léky!$H$2:$H$11,MATCH(C221,Léky!$A$2:$A$11,0))</f>
        <v>98</v>
      </c>
      <c r="H221" s="5" t="n">
        <f aca="false">F221*G221</f>
        <v>98</v>
      </c>
    </row>
    <row r="222" customFormat="false" ht="15" hidden="false" customHeight="false" outlineLevel="0" collapsed="false">
      <c r="A222" s="11" t="n">
        <v>45748</v>
      </c>
      <c r="B222" s="2" t="s">
        <v>129</v>
      </c>
      <c r="C222" s="2" t="s">
        <v>34</v>
      </c>
      <c r="D222" s="2" t="str">
        <f aca="false">INDEX(Léky!$B$2:$B$11,MATCH(C222,Léky!$A$2:$A$11,0))</f>
        <v>Metformin 500 mg</v>
      </c>
      <c r="E222" s="2" t="str">
        <f aca="false">INDEX(Léky!$E$2:$E$11,MATCH(C222,Léky!$A$2:$A$11,0))</f>
        <v>Diabetes</v>
      </c>
      <c r="F222" s="2" t="n">
        <v>2</v>
      </c>
      <c r="G222" s="5" t="n">
        <f aca="false">INDEX(Léky!$H$2:$H$11,MATCH(C222,Léky!$A$2:$A$11,0))</f>
        <v>89</v>
      </c>
      <c r="H222" s="5" t="n">
        <f aca="false">F222*G222</f>
        <v>178</v>
      </c>
    </row>
    <row r="223" customFormat="false" ht="15" hidden="false" customHeight="false" outlineLevel="0" collapsed="false">
      <c r="A223" s="11" t="n">
        <v>45748</v>
      </c>
      <c r="B223" s="2" t="s">
        <v>130</v>
      </c>
      <c r="C223" s="2" t="s">
        <v>57</v>
      </c>
      <c r="D223" s="2" t="str">
        <f aca="false">INDEX(Léky!$B$2:$B$11,MATCH(C223,Léky!$A$2:$A$11,0))</f>
        <v>Levothyroxin 50 µg</v>
      </c>
      <c r="E223" s="2" t="str">
        <f aca="false">INDEX(Léky!$E$2:$E$11,MATCH(C223,Léky!$A$2:$A$11,0))</f>
        <v>Štítná žláza</v>
      </c>
      <c r="F223" s="2" t="n">
        <v>1</v>
      </c>
      <c r="G223" s="5" t="n">
        <f aca="false">INDEX(Léky!$H$2:$H$11,MATCH(C223,Léky!$A$2:$A$11,0))</f>
        <v>118</v>
      </c>
      <c r="H223" s="5" t="n">
        <f aca="false">F223*G223</f>
        <v>118</v>
      </c>
    </row>
    <row r="224" customFormat="false" ht="15" hidden="false" customHeight="false" outlineLevel="0" collapsed="false">
      <c r="A224" s="11" t="n">
        <v>45748</v>
      </c>
      <c r="B224" s="2" t="s">
        <v>131</v>
      </c>
      <c r="C224" s="2" t="s">
        <v>34</v>
      </c>
      <c r="D224" s="2" t="str">
        <f aca="false">INDEX(Léky!$B$2:$B$11,MATCH(C224,Léky!$A$2:$A$11,0))</f>
        <v>Metformin 500 mg</v>
      </c>
      <c r="E224" s="2" t="str">
        <f aca="false">INDEX(Léky!$E$2:$E$11,MATCH(C224,Léky!$A$2:$A$11,0))</f>
        <v>Diabetes</v>
      </c>
      <c r="F224" s="2" t="n">
        <v>1</v>
      </c>
      <c r="G224" s="5" t="n">
        <f aca="false">INDEX(Léky!$H$2:$H$11,MATCH(C224,Léky!$A$2:$A$11,0))</f>
        <v>89</v>
      </c>
      <c r="H224" s="5" t="n">
        <f aca="false">F224*G224</f>
        <v>89</v>
      </c>
    </row>
    <row r="225" customFormat="false" ht="15" hidden="false" customHeight="false" outlineLevel="0" collapsed="false">
      <c r="A225" s="11" t="n">
        <v>45748</v>
      </c>
      <c r="B225" s="2" t="s">
        <v>131</v>
      </c>
      <c r="C225" s="2" t="s">
        <v>53</v>
      </c>
      <c r="D225" s="2" t="str">
        <f aca="false">INDEX(Léky!$B$2:$B$11,MATCH(C225,Léky!$A$2:$A$11,0))</f>
        <v>Ramipril 5 mg</v>
      </c>
      <c r="E225" s="2" t="str">
        <f aca="false">INDEX(Léky!$E$2:$E$11,MATCH(C225,Léky!$A$2:$A$11,0))</f>
        <v>Krevní tlak</v>
      </c>
      <c r="F225" s="2" t="n">
        <v>1</v>
      </c>
      <c r="G225" s="5" t="n">
        <f aca="false">INDEX(Léky!$H$2:$H$11,MATCH(C225,Léky!$A$2:$A$11,0))</f>
        <v>98</v>
      </c>
      <c r="H225" s="5" t="n">
        <f aca="false">F225*G225</f>
        <v>98</v>
      </c>
    </row>
    <row r="226" customFormat="false" ht="15" hidden="false" customHeight="false" outlineLevel="0" collapsed="false">
      <c r="A226" s="11" t="n">
        <v>45748</v>
      </c>
      <c r="B226" s="2" t="s">
        <v>131</v>
      </c>
      <c r="C226" s="2" t="s">
        <v>63</v>
      </c>
      <c r="D226" s="2" t="str">
        <f aca="false">INDEX(Léky!$B$2:$B$11,MATCH(C226,Léky!$A$2:$A$11,0))</f>
        <v>Omeprazol 20 mg</v>
      </c>
      <c r="E226" s="2" t="str">
        <f aca="false">INDEX(Léky!$E$2:$E$11,MATCH(C226,Léky!$A$2:$A$11,0))</f>
        <v>Trávení</v>
      </c>
      <c r="F226" s="2" t="n">
        <v>1</v>
      </c>
      <c r="G226" s="5" t="n">
        <f aca="false">INDEX(Léky!$H$2:$H$11,MATCH(C226,Léky!$A$2:$A$11,0))</f>
        <v>135</v>
      </c>
      <c r="H226" s="5" t="n">
        <f aca="false">F226*G226</f>
        <v>135</v>
      </c>
    </row>
    <row r="227" customFormat="false" ht="15" hidden="false" customHeight="false" outlineLevel="0" collapsed="false">
      <c r="A227" s="11" t="n">
        <v>45748</v>
      </c>
      <c r="B227" s="2" t="s">
        <v>133</v>
      </c>
      <c r="C227" s="2" t="s">
        <v>48</v>
      </c>
      <c r="D227" s="2" t="str">
        <f aca="false">INDEX(Léky!$B$2:$B$11,MATCH(C227,Léky!$A$2:$A$11,0))</f>
        <v>Amlodipin 5 mg</v>
      </c>
      <c r="E227" s="2" t="str">
        <f aca="false">INDEX(Léky!$E$2:$E$11,MATCH(C227,Léky!$A$2:$A$11,0))</f>
        <v>Krevní tlak</v>
      </c>
      <c r="F227" s="2" t="n">
        <v>1</v>
      </c>
      <c r="G227" s="5" t="n">
        <f aca="false">INDEX(Léky!$H$2:$H$11,MATCH(C227,Léky!$A$2:$A$11,0))</f>
        <v>72</v>
      </c>
      <c r="H227" s="5" t="n">
        <f aca="false">F227*G227</f>
        <v>72</v>
      </c>
    </row>
    <row r="228" customFormat="false" ht="15" hidden="false" customHeight="false" outlineLevel="0" collapsed="false">
      <c r="A228" s="11" t="n">
        <v>45748</v>
      </c>
      <c r="B228" s="2" t="s">
        <v>133</v>
      </c>
      <c r="C228" s="2" t="s">
        <v>70</v>
      </c>
      <c r="D228" s="2" t="str">
        <f aca="false">INDEX(Léky!$B$2:$B$11,MATCH(C228,Léky!$A$2:$A$11,0))</f>
        <v>Sertralin 50 mg</v>
      </c>
      <c r="E228" s="2" t="str">
        <f aca="false">INDEX(Léky!$E$2:$E$11,MATCH(C228,Léky!$A$2:$A$11,0))</f>
        <v>Psychiatrie</v>
      </c>
      <c r="F228" s="2" t="n">
        <v>1</v>
      </c>
      <c r="G228" s="5" t="n">
        <f aca="false">INDEX(Léky!$H$2:$H$11,MATCH(C228,Léky!$A$2:$A$11,0))</f>
        <v>210</v>
      </c>
      <c r="H228" s="5" t="n">
        <f aca="false">F228*G228</f>
        <v>210</v>
      </c>
    </row>
    <row r="229" customFormat="false" ht="15" hidden="false" customHeight="false" outlineLevel="0" collapsed="false">
      <c r="A229" s="11" t="n">
        <v>45748</v>
      </c>
      <c r="B229" s="2" t="s">
        <v>134</v>
      </c>
      <c r="C229" s="2" t="s">
        <v>53</v>
      </c>
      <c r="D229" s="2" t="str">
        <f aca="false">INDEX(Léky!$B$2:$B$11,MATCH(C229,Léky!$A$2:$A$11,0))</f>
        <v>Ramipril 5 mg</v>
      </c>
      <c r="E229" s="2" t="str">
        <f aca="false">INDEX(Léky!$E$2:$E$11,MATCH(C229,Léky!$A$2:$A$11,0))</f>
        <v>Krevní tlak</v>
      </c>
      <c r="F229" s="2" t="n">
        <v>1</v>
      </c>
      <c r="G229" s="5" t="n">
        <f aca="false">INDEX(Léky!$H$2:$H$11,MATCH(C229,Léky!$A$2:$A$11,0))</f>
        <v>98</v>
      </c>
      <c r="H229" s="5" t="n">
        <f aca="false">F229*G229</f>
        <v>98</v>
      </c>
    </row>
    <row r="230" customFormat="false" ht="15" hidden="false" customHeight="false" outlineLevel="0" collapsed="false">
      <c r="A230" s="11" t="n">
        <v>45748</v>
      </c>
      <c r="B230" s="2" t="s">
        <v>136</v>
      </c>
      <c r="C230" s="2" t="s">
        <v>34</v>
      </c>
      <c r="D230" s="2" t="str">
        <f aca="false">INDEX(Léky!$B$2:$B$11,MATCH(C230,Léky!$A$2:$A$11,0))</f>
        <v>Metformin 500 mg</v>
      </c>
      <c r="E230" s="2" t="str">
        <f aca="false">INDEX(Léky!$E$2:$E$11,MATCH(C230,Léky!$A$2:$A$11,0))</f>
        <v>Diabetes</v>
      </c>
      <c r="F230" s="2" t="n">
        <v>1</v>
      </c>
      <c r="G230" s="5" t="n">
        <f aca="false">INDEX(Léky!$H$2:$H$11,MATCH(C230,Léky!$A$2:$A$11,0))</f>
        <v>89</v>
      </c>
      <c r="H230" s="5" t="n">
        <f aca="false">F230*G230</f>
        <v>89</v>
      </c>
    </row>
    <row r="231" customFormat="false" ht="15" hidden="false" customHeight="false" outlineLevel="0" collapsed="false">
      <c r="A231" s="11" t="n">
        <v>45748</v>
      </c>
      <c r="B231" s="2" t="s">
        <v>137</v>
      </c>
      <c r="C231" s="2" t="s">
        <v>70</v>
      </c>
      <c r="D231" s="2" t="str">
        <f aca="false">INDEX(Léky!$B$2:$B$11,MATCH(C231,Léky!$A$2:$A$11,0))</f>
        <v>Sertralin 50 mg</v>
      </c>
      <c r="E231" s="2" t="str">
        <f aca="false">INDEX(Léky!$E$2:$E$11,MATCH(C231,Léky!$A$2:$A$11,0))</f>
        <v>Psychiatrie</v>
      </c>
      <c r="F231" s="2" t="n">
        <v>1</v>
      </c>
      <c r="G231" s="5" t="n">
        <f aca="false">INDEX(Léky!$H$2:$H$11,MATCH(C231,Léky!$A$2:$A$11,0))</f>
        <v>210</v>
      </c>
      <c r="H231" s="5" t="n">
        <f aca="false">F231*G231</f>
        <v>210</v>
      </c>
    </row>
    <row r="232" customFormat="false" ht="15" hidden="false" customHeight="false" outlineLevel="0" collapsed="false">
      <c r="A232" s="11" t="n">
        <v>45748</v>
      </c>
      <c r="B232" s="2" t="s">
        <v>137</v>
      </c>
      <c r="C232" s="2" t="s">
        <v>84</v>
      </c>
      <c r="D232" s="2" t="str">
        <f aca="false">INDEX(Léky!$B$2:$B$11,MATCH(C232,Léky!$A$2:$A$11,0))</f>
        <v>Amoxicilin 500 mg</v>
      </c>
      <c r="E232" s="2" t="str">
        <f aca="false">INDEX(Léky!$E$2:$E$11,MATCH(C232,Léky!$A$2:$A$11,0))</f>
        <v>Antibiotika</v>
      </c>
      <c r="F232" s="2" t="n">
        <v>1</v>
      </c>
      <c r="G232" s="5" t="n">
        <f aca="false">INDEX(Léky!$H$2:$H$11,MATCH(C232,Léky!$A$2:$A$11,0))</f>
        <v>120</v>
      </c>
      <c r="H232" s="5" t="n">
        <f aca="false">F232*G232</f>
        <v>120</v>
      </c>
    </row>
    <row r="233" customFormat="false" ht="15" hidden="false" customHeight="false" outlineLevel="0" collapsed="false">
      <c r="A233" s="11" t="n">
        <v>45748</v>
      </c>
      <c r="B233" s="2" t="s">
        <v>138</v>
      </c>
      <c r="C233" s="2" t="s">
        <v>48</v>
      </c>
      <c r="D233" s="2" t="str">
        <f aca="false">INDEX(Léky!$B$2:$B$11,MATCH(C233,Léky!$A$2:$A$11,0))</f>
        <v>Amlodipin 5 mg</v>
      </c>
      <c r="E233" s="2" t="str">
        <f aca="false">INDEX(Léky!$E$2:$E$11,MATCH(C233,Léky!$A$2:$A$11,0))</f>
        <v>Krevní tlak</v>
      </c>
      <c r="F233" s="2" t="n">
        <v>1</v>
      </c>
      <c r="G233" s="5" t="n">
        <f aca="false">INDEX(Léky!$H$2:$H$11,MATCH(C233,Léky!$A$2:$A$11,0))</f>
        <v>72</v>
      </c>
      <c r="H233" s="5" t="n">
        <f aca="false">F233*G233</f>
        <v>72</v>
      </c>
    </row>
    <row r="234" customFormat="false" ht="15" hidden="false" customHeight="false" outlineLevel="0" collapsed="false">
      <c r="A234" s="11" t="n">
        <v>45748</v>
      </c>
      <c r="B234" s="2" t="s">
        <v>138</v>
      </c>
      <c r="C234" s="2" t="s">
        <v>57</v>
      </c>
      <c r="D234" s="2" t="str">
        <f aca="false">INDEX(Léky!$B$2:$B$11,MATCH(C234,Léky!$A$2:$A$11,0))</f>
        <v>Levothyroxin 50 µg</v>
      </c>
      <c r="E234" s="2" t="str">
        <f aca="false">INDEX(Léky!$E$2:$E$11,MATCH(C234,Léky!$A$2:$A$11,0))</f>
        <v>Štítná žláza</v>
      </c>
      <c r="F234" s="2" t="n">
        <v>1</v>
      </c>
      <c r="G234" s="5" t="n">
        <f aca="false">INDEX(Léky!$H$2:$H$11,MATCH(C234,Léky!$A$2:$A$11,0))</f>
        <v>118</v>
      </c>
      <c r="H234" s="5" t="n">
        <f aca="false">F234*G234</f>
        <v>118</v>
      </c>
    </row>
    <row r="235" customFormat="false" ht="15" hidden="false" customHeight="false" outlineLevel="0" collapsed="false">
      <c r="A235" s="11" t="n">
        <v>45748</v>
      </c>
      <c r="B235" s="2" t="s">
        <v>138</v>
      </c>
      <c r="C235" s="2" t="s">
        <v>63</v>
      </c>
      <c r="D235" s="2" t="str">
        <f aca="false">INDEX(Léky!$B$2:$B$11,MATCH(C235,Léky!$A$2:$A$11,0))</f>
        <v>Omeprazol 20 mg</v>
      </c>
      <c r="E235" s="2" t="str">
        <f aca="false">INDEX(Léky!$E$2:$E$11,MATCH(C235,Léky!$A$2:$A$11,0))</f>
        <v>Trávení</v>
      </c>
      <c r="F235" s="2" t="n">
        <v>1</v>
      </c>
      <c r="G235" s="5" t="n">
        <f aca="false">INDEX(Léky!$H$2:$H$11,MATCH(C235,Léky!$A$2:$A$11,0))</f>
        <v>135</v>
      </c>
      <c r="H235" s="5" t="n">
        <f aca="false">F235*G235</f>
        <v>135</v>
      </c>
    </row>
    <row r="236" customFormat="false" ht="15" hidden="false" customHeight="false" outlineLevel="0" collapsed="false">
      <c r="A236" s="11" t="n">
        <v>45748</v>
      </c>
      <c r="B236" s="2" t="s">
        <v>140</v>
      </c>
      <c r="C236" s="2" t="s">
        <v>57</v>
      </c>
      <c r="D236" s="2" t="str">
        <f aca="false">INDEX(Léky!$B$2:$B$11,MATCH(C236,Léky!$A$2:$A$11,0))</f>
        <v>Levothyroxin 50 µg</v>
      </c>
      <c r="E236" s="2" t="str">
        <f aca="false">INDEX(Léky!$E$2:$E$11,MATCH(C236,Léky!$A$2:$A$11,0))</f>
        <v>Štítná žláza</v>
      </c>
      <c r="F236" s="2" t="n">
        <v>1</v>
      </c>
      <c r="G236" s="5" t="n">
        <f aca="false">INDEX(Léky!$H$2:$H$11,MATCH(C236,Léky!$A$2:$A$11,0))</f>
        <v>118</v>
      </c>
      <c r="H236" s="5" t="n">
        <f aca="false">F236*G236</f>
        <v>118</v>
      </c>
    </row>
    <row r="237" customFormat="false" ht="15" hidden="false" customHeight="false" outlineLevel="0" collapsed="false">
      <c r="A237" s="11" t="n">
        <v>45748</v>
      </c>
      <c r="B237" s="2" t="s">
        <v>141</v>
      </c>
      <c r="C237" s="2" t="s">
        <v>53</v>
      </c>
      <c r="D237" s="2" t="str">
        <f aca="false">INDEX(Léky!$B$2:$B$11,MATCH(C237,Léky!$A$2:$A$11,0))</f>
        <v>Ramipril 5 mg</v>
      </c>
      <c r="E237" s="2" t="str">
        <f aca="false">INDEX(Léky!$E$2:$E$11,MATCH(C237,Léky!$A$2:$A$11,0))</f>
        <v>Krevní tlak</v>
      </c>
      <c r="F237" s="2" t="n">
        <v>1</v>
      </c>
      <c r="G237" s="5" t="n">
        <f aca="false">INDEX(Léky!$H$2:$H$11,MATCH(C237,Léky!$A$2:$A$11,0))</f>
        <v>98</v>
      </c>
      <c r="H237" s="5" t="n">
        <f aca="false">F237*G237</f>
        <v>98</v>
      </c>
    </row>
    <row r="238" customFormat="false" ht="15" hidden="false" customHeight="false" outlineLevel="0" collapsed="false">
      <c r="A238" s="11" t="n">
        <v>45748</v>
      </c>
      <c r="B238" s="2" t="s">
        <v>142</v>
      </c>
      <c r="C238" s="2" t="s">
        <v>48</v>
      </c>
      <c r="D238" s="2" t="str">
        <f aca="false">INDEX(Léky!$B$2:$B$11,MATCH(C238,Léky!$A$2:$A$11,0))</f>
        <v>Amlodipin 5 mg</v>
      </c>
      <c r="E238" s="2" t="str">
        <f aca="false">INDEX(Léky!$E$2:$E$11,MATCH(C238,Léky!$A$2:$A$11,0))</f>
        <v>Krevní tlak</v>
      </c>
      <c r="F238" s="2" t="n">
        <v>1</v>
      </c>
      <c r="G238" s="5" t="n">
        <f aca="false">INDEX(Léky!$H$2:$H$11,MATCH(C238,Léky!$A$2:$A$11,0))</f>
        <v>72</v>
      </c>
      <c r="H238" s="5" t="n">
        <f aca="false">F238*G238</f>
        <v>72</v>
      </c>
    </row>
    <row r="239" customFormat="false" ht="15" hidden="false" customHeight="false" outlineLevel="0" collapsed="false">
      <c r="A239" s="11" t="n">
        <v>45748</v>
      </c>
      <c r="B239" s="2" t="s">
        <v>143</v>
      </c>
      <c r="C239" s="2" t="s">
        <v>84</v>
      </c>
      <c r="D239" s="2" t="str">
        <f aca="false">INDEX(Léky!$B$2:$B$11,MATCH(C239,Léky!$A$2:$A$11,0))</f>
        <v>Amoxicilin 500 mg</v>
      </c>
      <c r="E239" s="2" t="str">
        <f aca="false">INDEX(Léky!$E$2:$E$11,MATCH(C239,Léky!$A$2:$A$11,0))</f>
        <v>Antibiotika</v>
      </c>
      <c r="F239" s="2" t="n">
        <v>1</v>
      </c>
      <c r="G239" s="5" t="n">
        <f aca="false">INDEX(Léky!$H$2:$H$11,MATCH(C239,Léky!$A$2:$A$11,0))</f>
        <v>120</v>
      </c>
      <c r="H239" s="5" t="n">
        <f aca="false">F239*G239</f>
        <v>120</v>
      </c>
    </row>
    <row r="240" customFormat="false" ht="15" hidden="false" customHeight="false" outlineLevel="0" collapsed="false">
      <c r="A240" s="11" t="n">
        <v>45748</v>
      </c>
      <c r="B240" s="2" t="s">
        <v>144</v>
      </c>
      <c r="C240" s="2" t="s">
        <v>63</v>
      </c>
      <c r="D240" s="2" t="str">
        <f aca="false">INDEX(Léky!$B$2:$B$11,MATCH(C240,Léky!$A$2:$A$11,0))</f>
        <v>Omeprazol 20 mg</v>
      </c>
      <c r="E240" s="2" t="str">
        <f aca="false">INDEX(Léky!$E$2:$E$11,MATCH(C240,Léky!$A$2:$A$11,0))</f>
        <v>Trávení</v>
      </c>
      <c r="F240" s="2" t="n">
        <v>1</v>
      </c>
      <c r="G240" s="5" t="n">
        <f aca="false">INDEX(Léky!$H$2:$H$11,MATCH(C240,Léky!$A$2:$A$11,0))</f>
        <v>135</v>
      </c>
      <c r="H240" s="5" t="n">
        <f aca="false">F240*G240</f>
        <v>135</v>
      </c>
    </row>
    <row r="241" customFormat="false" ht="15" hidden="false" customHeight="false" outlineLevel="0" collapsed="false">
      <c r="A241" s="11" t="n">
        <v>45748</v>
      </c>
      <c r="B241" s="2" t="s">
        <v>145</v>
      </c>
      <c r="C241" s="2" t="s">
        <v>42</v>
      </c>
      <c r="D241" s="2" t="str">
        <f aca="false">INDEX(Léky!$B$2:$B$11,MATCH(C241,Léky!$A$2:$A$11,0))</f>
        <v>Atorvastatin 20 mg</v>
      </c>
      <c r="E241" s="2" t="str">
        <f aca="false">INDEX(Léky!$E$2:$E$11,MATCH(C241,Léky!$A$2:$A$11,0))</f>
        <v>Cholesterol</v>
      </c>
      <c r="F241" s="2" t="n">
        <v>1</v>
      </c>
      <c r="G241" s="5" t="n">
        <f aca="false">INDEX(Léky!$H$2:$H$11,MATCH(C241,Léky!$A$2:$A$11,0))</f>
        <v>145</v>
      </c>
      <c r="H241" s="5" t="n">
        <f aca="false">F241*G241</f>
        <v>145</v>
      </c>
    </row>
    <row r="242" customFormat="false" ht="15" hidden="false" customHeight="false" outlineLevel="0" collapsed="false">
      <c r="A242" s="11" t="n">
        <v>45748</v>
      </c>
      <c r="B242" s="2" t="s">
        <v>145</v>
      </c>
      <c r="C242" s="2" t="s">
        <v>57</v>
      </c>
      <c r="D242" s="2" t="str">
        <f aca="false">INDEX(Léky!$B$2:$B$11,MATCH(C242,Léky!$A$2:$A$11,0))</f>
        <v>Levothyroxin 50 µg</v>
      </c>
      <c r="E242" s="2" t="str">
        <f aca="false">INDEX(Léky!$E$2:$E$11,MATCH(C242,Léky!$A$2:$A$11,0))</f>
        <v>Štítná žláza</v>
      </c>
      <c r="F242" s="2" t="n">
        <v>1</v>
      </c>
      <c r="G242" s="5" t="n">
        <f aca="false">INDEX(Léky!$H$2:$H$11,MATCH(C242,Léky!$A$2:$A$11,0))</f>
        <v>118</v>
      </c>
      <c r="H242" s="5" t="n">
        <f aca="false">F242*G242</f>
        <v>118</v>
      </c>
    </row>
    <row r="243" customFormat="false" ht="15" hidden="false" customHeight="false" outlineLevel="0" collapsed="false">
      <c r="A243" s="11" t="n">
        <v>45748</v>
      </c>
      <c r="B243" s="2" t="s">
        <v>147</v>
      </c>
      <c r="C243" s="2" t="s">
        <v>34</v>
      </c>
      <c r="D243" s="2" t="str">
        <f aca="false">INDEX(Léky!$B$2:$B$11,MATCH(C243,Léky!$A$2:$A$11,0))</f>
        <v>Metformin 500 mg</v>
      </c>
      <c r="E243" s="2" t="str">
        <f aca="false">INDEX(Léky!$E$2:$E$11,MATCH(C243,Léky!$A$2:$A$11,0))</f>
        <v>Diabetes</v>
      </c>
      <c r="F243" s="2" t="n">
        <v>1</v>
      </c>
      <c r="G243" s="5" t="n">
        <f aca="false">INDEX(Léky!$H$2:$H$11,MATCH(C243,Léky!$A$2:$A$11,0))</f>
        <v>89</v>
      </c>
      <c r="H243" s="5" t="n">
        <f aca="false">F243*G243</f>
        <v>89</v>
      </c>
    </row>
    <row r="244" customFormat="false" ht="15" hidden="false" customHeight="false" outlineLevel="0" collapsed="false">
      <c r="A244" s="11" t="n">
        <v>45748</v>
      </c>
      <c r="B244" s="2" t="s">
        <v>147</v>
      </c>
      <c r="C244" s="2" t="s">
        <v>84</v>
      </c>
      <c r="D244" s="2" t="str">
        <f aca="false">INDEX(Léky!$B$2:$B$11,MATCH(C244,Léky!$A$2:$A$11,0))</f>
        <v>Amoxicilin 500 mg</v>
      </c>
      <c r="E244" s="2" t="str">
        <f aca="false">INDEX(Léky!$E$2:$E$11,MATCH(C244,Léky!$A$2:$A$11,0))</f>
        <v>Antibiotika</v>
      </c>
      <c r="F244" s="2" t="n">
        <v>1</v>
      </c>
      <c r="G244" s="5" t="n">
        <f aca="false">INDEX(Léky!$H$2:$H$11,MATCH(C244,Léky!$A$2:$A$11,0))</f>
        <v>120</v>
      </c>
      <c r="H244" s="5" t="n">
        <f aca="false">F244*G244</f>
        <v>120</v>
      </c>
    </row>
    <row r="245" customFormat="false" ht="15" hidden="false" customHeight="false" outlineLevel="0" collapsed="false">
      <c r="A245" s="11" t="n">
        <v>45748</v>
      </c>
      <c r="B245" s="2" t="s">
        <v>149</v>
      </c>
      <c r="C245" s="2" t="s">
        <v>48</v>
      </c>
      <c r="D245" s="2" t="str">
        <f aca="false">INDEX(Léky!$B$2:$B$11,MATCH(C245,Léky!$A$2:$A$11,0))</f>
        <v>Amlodipin 5 mg</v>
      </c>
      <c r="E245" s="2" t="str">
        <f aca="false">INDEX(Léky!$E$2:$E$11,MATCH(C245,Léky!$A$2:$A$11,0))</f>
        <v>Krevní tlak</v>
      </c>
      <c r="F245" s="2" t="n">
        <v>1</v>
      </c>
      <c r="G245" s="5" t="n">
        <f aca="false">INDEX(Léky!$H$2:$H$11,MATCH(C245,Léky!$A$2:$A$11,0))</f>
        <v>72</v>
      </c>
      <c r="H245" s="5" t="n">
        <f aca="false">F245*G245</f>
        <v>72</v>
      </c>
    </row>
    <row r="246" customFormat="false" ht="15" hidden="false" customHeight="false" outlineLevel="0" collapsed="false">
      <c r="A246" s="11" t="n">
        <v>45748</v>
      </c>
      <c r="B246" s="2" t="s">
        <v>149</v>
      </c>
      <c r="C246" s="2" t="s">
        <v>84</v>
      </c>
      <c r="D246" s="2" t="str">
        <f aca="false">INDEX(Léky!$B$2:$B$11,MATCH(C246,Léky!$A$2:$A$11,0))</f>
        <v>Amoxicilin 500 mg</v>
      </c>
      <c r="E246" s="2" t="str">
        <f aca="false">INDEX(Léky!$E$2:$E$11,MATCH(C246,Léky!$A$2:$A$11,0))</f>
        <v>Antibiotika</v>
      </c>
      <c r="F246" s="2" t="n">
        <v>1</v>
      </c>
      <c r="G246" s="5" t="n">
        <f aca="false">INDEX(Léky!$H$2:$H$11,MATCH(C246,Léky!$A$2:$A$11,0))</f>
        <v>120</v>
      </c>
      <c r="H246" s="5" t="n">
        <f aca="false">F246*G246</f>
        <v>120</v>
      </c>
    </row>
    <row r="247" customFormat="false" ht="15" hidden="false" customHeight="false" outlineLevel="0" collapsed="false">
      <c r="A247" s="11" t="n">
        <v>45748</v>
      </c>
      <c r="B247" s="2" t="s">
        <v>151</v>
      </c>
      <c r="C247" s="2" t="s">
        <v>63</v>
      </c>
      <c r="D247" s="2" t="str">
        <f aca="false">INDEX(Léky!$B$2:$B$11,MATCH(C247,Léky!$A$2:$A$11,0))</f>
        <v>Omeprazol 20 mg</v>
      </c>
      <c r="E247" s="2" t="str">
        <f aca="false">INDEX(Léky!$E$2:$E$11,MATCH(C247,Léky!$A$2:$A$11,0))</f>
        <v>Trávení</v>
      </c>
      <c r="F247" s="2" t="n">
        <v>1</v>
      </c>
      <c r="G247" s="5" t="n">
        <f aca="false">INDEX(Léky!$H$2:$H$11,MATCH(C247,Léky!$A$2:$A$11,0))</f>
        <v>135</v>
      </c>
      <c r="H247" s="5" t="n">
        <f aca="false">F247*G247</f>
        <v>135</v>
      </c>
    </row>
    <row r="248" customFormat="false" ht="15" hidden="false" customHeight="false" outlineLevel="0" collapsed="false">
      <c r="A248" s="11" t="n">
        <v>45748</v>
      </c>
      <c r="B248" s="2" t="s">
        <v>154</v>
      </c>
      <c r="C248" s="2" t="s">
        <v>48</v>
      </c>
      <c r="D248" s="2" t="str">
        <f aca="false">INDEX(Léky!$B$2:$B$11,MATCH(C248,Léky!$A$2:$A$11,0))</f>
        <v>Amlodipin 5 mg</v>
      </c>
      <c r="E248" s="2" t="str">
        <f aca="false">INDEX(Léky!$E$2:$E$11,MATCH(C248,Léky!$A$2:$A$11,0))</f>
        <v>Krevní tlak</v>
      </c>
      <c r="F248" s="2" t="n">
        <v>1</v>
      </c>
      <c r="G248" s="5" t="n">
        <f aca="false">INDEX(Léky!$H$2:$H$11,MATCH(C248,Léky!$A$2:$A$11,0))</f>
        <v>72</v>
      </c>
      <c r="H248" s="5" t="n">
        <f aca="false">F248*G248</f>
        <v>72</v>
      </c>
    </row>
    <row r="249" customFormat="false" ht="15" hidden="false" customHeight="false" outlineLevel="0" collapsed="false">
      <c r="A249" s="11" t="n">
        <v>45748</v>
      </c>
      <c r="B249" s="2" t="s">
        <v>155</v>
      </c>
      <c r="C249" s="2" t="s">
        <v>42</v>
      </c>
      <c r="D249" s="2" t="str">
        <f aca="false">INDEX(Léky!$B$2:$B$11,MATCH(C249,Léky!$A$2:$A$11,0))</f>
        <v>Atorvastatin 20 mg</v>
      </c>
      <c r="E249" s="2" t="str">
        <f aca="false">INDEX(Léky!$E$2:$E$11,MATCH(C249,Léky!$A$2:$A$11,0))</f>
        <v>Cholesterol</v>
      </c>
      <c r="F249" s="2" t="n">
        <v>1</v>
      </c>
      <c r="G249" s="5" t="n">
        <f aca="false">INDEX(Léky!$H$2:$H$11,MATCH(C249,Léky!$A$2:$A$11,0))</f>
        <v>145</v>
      </c>
      <c r="H249" s="5" t="n">
        <f aca="false">F249*G249</f>
        <v>145</v>
      </c>
    </row>
    <row r="250" customFormat="false" ht="15" hidden="false" customHeight="false" outlineLevel="0" collapsed="false">
      <c r="A250" s="11" t="n">
        <v>45748</v>
      </c>
      <c r="B250" s="2" t="s">
        <v>155</v>
      </c>
      <c r="C250" s="2" t="s">
        <v>48</v>
      </c>
      <c r="D250" s="2" t="str">
        <f aca="false">INDEX(Léky!$B$2:$B$11,MATCH(C250,Léky!$A$2:$A$11,0))</f>
        <v>Amlodipin 5 mg</v>
      </c>
      <c r="E250" s="2" t="str">
        <f aca="false">INDEX(Léky!$E$2:$E$11,MATCH(C250,Léky!$A$2:$A$11,0))</f>
        <v>Krevní tlak</v>
      </c>
      <c r="F250" s="2" t="n">
        <v>1</v>
      </c>
      <c r="G250" s="5" t="n">
        <f aca="false">INDEX(Léky!$H$2:$H$11,MATCH(C250,Léky!$A$2:$A$11,0))</f>
        <v>72</v>
      </c>
      <c r="H250" s="5" t="n">
        <f aca="false">F250*G250</f>
        <v>72</v>
      </c>
    </row>
    <row r="251" customFormat="false" ht="15" hidden="false" customHeight="false" outlineLevel="0" collapsed="false">
      <c r="A251" s="11" t="n">
        <v>45748</v>
      </c>
      <c r="B251" s="2" t="s">
        <v>156</v>
      </c>
      <c r="C251" s="2" t="s">
        <v>42</v>
      </c>
      <c r="D251" s="2" t="str">
        <f aca="false">INDEX(Léky!$B$2:$B$11,MATCH(C251,Léky!$A$2:$A$11,0))</f>
        <v>Atorvastatin 20 mg</v>
      </c>
      <c r="E251" s="2" t="str">
        <f aca="false">INDEX(Léky!$E$2:$E$11,MATCH(C251,Léky!$A$2:$A$11,0))</f>
        <v>Cholesterol</v>
      </c>
      <c r="F251" s="2" t="n">
        <v>1</v>
      </c>
      <c r="G251" s="5" t="n">
        <f aca="false">INDEX(Léky!$H$2:$H$11,MATCH(C251,Léky!$A$2:$A$11,0))</f>
        <v>145</v>
      </c>
      <c r="H251" s="5" t="n">
        <f aca="false">F251*G251</f>
        <v>145</v>
      </c>
    </row>
    <row r="252" customFormat="false" ht="15" hidden="false" customHeight="false" outlineLevel="0" collapsed="false">
      <c r="A252" s="11" t="n">
        <v>45748</v>
      </c>
      <c r="B252" s="2" t="s">
        <v>156</v>
      </c>
      <c r="C252" s="2" t="s">
        <v>53</v>
      </c>
      <c r="D252" s="2" t="str">
        <f aca="false">INDEX(Léky!$B$2:$B$11,MATCH(C252,Léky!$A$2:$A$11,0))</f>
        <v>Ramipril 5 mg</v>
      </c>
      <c r="E252" s="2" t="str">
        <f aca="false">INDEX(Léky!$E$2:$E$11,MATCH(C252,Léky!$A$2:$A$11,0))</f>
        <v>Krevní tlak</v>
      </c>
      <c r="F252" s="2" t="n">
        <v>1</v>
      </c>
      <c r="G252" s="5" t="n">
        <f aca="false">INDEX(Léky!$H$2:$H$11,MATCH(C252,Léky!$A$2:$A$11,0))</f>
        <v>98</v>
      </c>
      <c r="H252" s="5" t="n">
        <f aca="false">F252*G252</f>
        <v>98</v>
      </c>
    </row>
    <row r="253" customFormat="false" ht="15" hidden="false" customHeight="false" outlineLevel="0" collapsed="false">
      <c r="A253" s="11" t="n">
        <v>45748</v>
      </c>
      <c r="B253" s="2" t="s">
        <v>156</v>
      </c>
      <c r="C253" s="2" t="s">
        <v>63</v>
      </c>
      <c r="D253" s="2" t="str">
        <f aca="false">INDEX(Léky!$B$2:$B$11,MATCH(C253,Léky!$A$2:$A$11,0))</f>
        <v>Omeprazol 20 mg</v>
      </c>
      <c r="E253" s="2" t="str">
        <f aca="false">INDEX(Léky!$E$2:$E$11,MATCH(C253,Léky!$A$2:$A$11,0))</f>
        <v>Trávení</v>
      </c>
      <c r="F253" s="2" t="n">
        <v>1</v>
      </c>
      <c r="G253" s="5" t="n">
        <f aca="false">INDEX(Léky!$H$2:$H$11,MATCH(C253,Léky!$A$2:$A$11,0))</f>
        <v>135</v>
      </c>
      <c r="H253" s="5" t="n">
        <f aca="false">F253*G253</f>
        <v>135</v>
      </c>
    </row>
    <row r="254" customFormat="false" ht="15" hidden="false" customHeight="false" outlineLevel="0" collapsed="false">
      <c r="A254" s="11" t="n">
        <v>45748</v>
      </c>
      <c r="B254" s="2" t="s">
        <v>159</v>
      </c>
      <c r="C254" s="2" t="s">
        <v>57</v>
      </c>
      <c r="D254" s="2" t="str">
        <f aca="false">INDEX(Léky!$B$2:$B$11,MATCH(C254,Léky!$A$2:$A$11,0))</f>
        <v>Levothyroxin 50 µg</v>
      </c>
      <c r="E254" s="2" t="str">
        <f aca="false">INDEX(Léky!$E$2:$E$11,MATCH(C254,Léky!$A$2:$A$11,0))</f>
        <v>Štítná žláza</v>
      </c>
      <c r="F254" s="2" t="n">
        <v>1</v>
      </c>
      <c r="G254" s="5" t="n">
        <f aca="false">INDEX(Léky!$H$2:$H$11,MATCH(C254,Léky!$A$2:$A$11,0))</f>
        <v>118</v>
      </c>
      <c r="H254" s="5" t="n">
        <f aca="false">F254*G254</f>
        <v>118</v>
      </c>
    </row>
    <row r="255" customFormat="false" ht="15" hidden="false" customHeight="false" outlineLevel="0" collapsed="false">
      <c r="A255" s="11" t="n">
        <v>45748</v>
      </c>
      <c r="B255" s="2" t="s">
        <v>160</v>
      </c>
      <c r="C255" s="2" t="s">
        <v>48</v>
      </c>
      <c r="D255" s="2" t="str">
        <f aca="false">INDEX(Léky!$B$2:$B$11,MATCH(C255,Léky!$A$2:$A$11,0))</f>
        <v>Amlodipin 5 mg</v>
      </c>
      <c r="E255" s="2" t="str">
        <f aca="false">INDEX(Léky!$E$2:$E$11,MATCH(C255,Léky!$A$2:$A$11,0))</f>
        <v>Krevní tlak</v>
      </c>
      <c r="F255" s="2" t="n">
        <v>1</v>
      </c>
      <c r="G255" s="5" t="n">
        <f aca="false">INDEX(Léky!$H$2:$H$11,MATCH(C255,Léky!$A$2:$A$11,0))</f>
        <v>72</v>
      </c>
      <c r="H255" s="5" t="n">
        <f aca="false">F255*G255</f>
        <v>72</v>
      </c>
    </row>
    <row r="256" customFormat="false" ht="15" hidden="false" customHeight="false" outlineLevel="0" collapsed="false">
      <c r="A256" s="11" t="n">
        <v>45748</v>
      </c>
      <c r="B256" s="2" t="s">
        <v>161</v>
      </c>
      <c r="C256" s="2" t="s">
        <v>53</v>
      </c>
      <c r="D256" s="2" t="str">
        <f aca="false">INDEX(Léky!$B$2:$B$11,MATCH(C256,Léky!$A$2:$A$11,0))</f>
        <v>Ramipril 5 mg</v>
      </c>
      <c r="E256" s="2" t="str">
        <f aca="false">INDEX(Léky!$E$2:$E$11,MATCH(C256,Léky!$A$2:$A$11,0))</f>
        <v>Krevní tlak</v>
      </c>
      <c r="F256" s="2" t="n">
        <v>1</v>
      </c>
      <c r="G256" s="5" t="n">
        <f aca="false">INDEX(Léky!$H$2:$H$11,MATCH(C256,Léky!$A$2:$A$11,0))</f>
        <v>98</v>
      </c>
      <c r="H256" s="5" t="n">
        <f aca="false">F256*G256</f>
        <v>98</v>
      </c>
    </row>
    <row r="257" customFormat="false" ht="15" hidden="false" customHeight="false" outlineLevel="0" collapsed="false">
      <c r="A257" s="11" t="n">
        <v>45748</v>
      </c>
      <c r="B257" s="2" t="s">
        <v>161</v>
      </c>
      <c r="C257" s="2" t="s">
        <v>57</v>
      </c>
      <c r="D257" s="2" t="str">
        <f aca="false">INDEX(Léky!$B$2:$B$11,MATCH(C257,Léky!$A$2:$A$11,0))</f>
        <v>Levothyroxin 50 µg</v>
      </c>
      <c r="E257" s="2" t="str">
        <f aca="false">INDEX(Léky!$E$2:$E$11,MATCH(C257,Léky!$A$2:$A$11,0))</f>
        <v>Štítná žláza</v>
      </c>
      <c r="F257" s="2" t="n">
        <v>1</v>
      </c>
      <c r="G257" s="5" t="n">
        <f aca="false">INDEX(Léky!$H$2:$H$11,MATCH(C257,Léky!$A$2:$A$11,0))</f>
        <v>118</v>
      </c>
      <c r="H257" s="5" t="n">
        <f aca="false">F257*G257</f>
        <v>118</v>
      </c>
    </row>
    <row r="258" customFormat="false" ht="15" hidden="false" customHeight="false" outlineLevel="0" collapsed="false">
      <c r="A258" s="11" t="n">
        <v>45748</v>
      </c>
      <c r="B258" s="2" t="s">
        <v>162</v>
      </c>
      <c r="C258" s="2" t="s">
        <v>42</v>
      </c>
      <c r="D258" s="2" t="str">
        <f aca="false">INDEX(Léky!$B$2:$B$11,MATCH(C258,Léky!$A$2:$A$11,0))</f>
        <v>Atorvastatin 20 mg</v>
      </c>
      <c r="E258" s="2" t="str">
        <f aca="false">INDEX(Léky!$E$2:$E$11,MATCH(C258,Léky!$A$2:$A$11,0))</f>
        <v>Cholesterol</v>
      </c>
      <c r="F258" s="2" t="n">
        <v>1</v>
      </c>
      <c r="G258" s="5" t="n">
        <f aca="false">INDEX(Léky!$H$2:$H$11,MATCH(C258,Léky!$A$2:$A$11,0))</f>
        <v>145</v>
      </c>
      <c r="H258" s="5" t="n">
        <f aca="false">F258*G258</f>
        <v>145</v>
      </c>
    </row>
    <row r="259" customFormat="false" ht="15" hidden="false" customHeight="false" outlineLevel="0" collapsed="false">
      <c r="A259" s="11" t="n">
        <v>45748</v>
      </c>
      <c r="B259" s="2" t="s">
        <v>166</v>
      </c>
      <c r="C259" s="2" t="s">
        <v>57</v>
      </c>
      <c r="D259" s="2" t="str">
        <f aca="false">INDEX(Léky!$B$2:$B$11,MATCH(C259,Léky!$A$2:$A$11,0))</f>
        <v>Levothyroxin 50 µg</v>
      </c>
      <c r="E259" s="2" t="str">
        <f aca="false">INDEX(Léky!$E$2:$E$11,MATCH(C259,Léky!$A$2:$A$11,0))</f>
        <v>Štítná žláza</v>
      </c>
      <c r="F259" s="2" t="n">
        <v>1</v>
      </c>
      <c r="G259" s="5" t="n">
        <f aca="false">INDEX(Léky!$H$2:$H$11,MATCH(C259,Léky!$A$2:$A$11,0))</f>
        <v>118</v>
      </c>
      <c r="H259" s="5" t="n">
        <f aca="false">F259*G259</f>
        <v>118</v>
      </c>
    </row>
    <row r="260" customFormat="false" ht="15" hidden="false" customHeight="false" outlineLevel="0" collapsed="false">
      <c r="A260" s="11" t="n">
        <v>45748</v>
      </c>
      <c r="B260" s="2" t="s">
        <v>168</v>
      </c>
      <c r="C260" s="2" t="s">
        <v>91</v>
      </c>
      <c r="D260" s="2" t="str">
        <f aca="false">INDEX(Léky!$B$2:$B$11,MATCH(C260,Léky!$A$2:$A$11,0))</f>
        <v>Ibuprofen 400 mg</v>
      </c>
      <c r="E260" s="2" t="str">
        <f aca="false">INDEX(Léky!$E$2:$E$11,MATCH(C260,Léky!$A$2:$A$11,0))</f>
        <v>Bolest</v>
      </c>
      <c r="F260" s="2" t="n">
        <v>1</v>
      </c>
      <c r="G260" s="5" t="n">
        <f aca="false">INDEX(Léky!$H$2:$H$11,MATCH(C260,Léky!$A$2:$A$11,0))</f>
        <v>65</v>
      </c>
      <c r="H260" s="5" t="n">
        <f aca="false">F260*G260</f>
        <v>65</v>
      </c>
    </row>
    <row r="261" customFormat="false" ht="15" hidden="false" customHeight="false" outlineLevel="0" collapsed="false">
      <c r="A261" s="11" t="n">
        <v>45748</v>
      </c>
      <c r="B261" s="2" t="s">
        <v>169</v>
      </c>
      <c r="C261" s="2" t="s">
        <v>63</v>
      </c>
      <c r="D261" s="2" t="str">
        <f aca="false">INDEX(Léky!$B$2:$B$11,MATCH(C261,Léky!$A$2:$A$11,0))</f>
        <v>Omeprazol 20 mg</v>
      </c>
      <c r="E261" s="2" t="str">
        <f aca="false">INDEX(Léky!$E$2:$E$11,MATCH(C261,Léky!$A$2:$A$11,0))</f>
        <v>Trávení</v>
      </c>
      <c r="F261" s="2" t="n">
        <v>1</v>
      </c>
      <c r="G261" s="5" t="n">
        <f aca="false">INDEX(Léky!$H$2:$H$11,MATCH(C261,Léky!$A$2:$A$11,0))</f>
        <v>135</v>
      </c>
      <c r="H261" s="5" t="n">
        <f aca="false">F261*G261</f>
        <v>135</v>
      </c>
    </row>
    <row r="262" customFormat="false" ht="15" hidden="false" customHeight="false" outlineLevel="0" collapsed="false">
      <c r="A262" s="11" t="n">
        <v>45748</v>
      </c>
      <c r="B262" s="2" t="s">
        <v>169</v>
      </c>
      <c r="C262" s="2" t="s">
        <v>91</v>
      </c>
      <c r="D262" s="2" t="str">
        <f aca="false">INDEX(Léky!$B$2:$B$11,MATCH(C262,Léky!$A$2:$A$11,0))</f>
        <v>Ibuprofen 400 mg</v>
      </c>
      <c r="E262" s="2" t="str">
        <f aca="false">INDEX(Léky!$E$2:$E$11,MATCH(C262,Léky!$A$2:$A$11,0))</f>
        <v>Bolest</v>
      </c>
      <c r="F262" s="2" t="n">
        <v>2</v>
      </c>
      <c r="G262" s="5" t="n">
        <f aca="false">INDEX(Léky!$H$2:$H$11,MATCH(C262,Léky!$A$2:$A$11,0))</f>
        <v>65</v>
      </c>
      <c r="H262" s="5" t="n">
        <f aca="false">F262*G262</f>
        <v>130</v>
      </c>
    </row>
    <row r="263" customFormat="false" ht="15" hidden="false" customHeight="false" outlineLevel="0" collapsed="false">
      <c r="A263" s="11" t="n">
        <v>45748</v>
      </c>
      <c r="B263" s="2" t="s">
        <v>170</v>
      </c>
      <c r="C263" s="2" t="s">
        <v>63</v>
      </c>
      <c r="D263" s="2" t="str">
        <f aca="false">INDEX(Léky!$B$2:$B$11,MATCH(C263,Léky!$A$2:$A$11,0))</f>
        <v>Omeprazol 20 mg</v>
      </c>
      <c r="E263" s="2" t="str">
        <f aca="false">INDEX(Léky!$E$2:$E$11,MATCH(C263,Léky!$A$2:$A$11,0))</f>
        <v>Trávení</v>
      </c>
      <c r="F263" s="2" t="n">
        <v>1</v>
      </c>
      <c r="G263" s="5" t="n">
        <f aca="false">INDEX(Léky!$H$2:$H$11,MATCH(C263,Léky!$A$2:$A$11,0))</f>
        <v>135</v>
      </c>
      <c r="H263" s="5" t="n">
        <f aca="false">F263*G263</f>
        <v>135</v>
      </c>
    </row>
    <row r="264" customFormat="false" ht="15" hidden="false" customHeight="false" outlineLevel="0" collapsed="false">
      <c r="A264" s="11" t="n">
        <v>45748</v>
      </c>
      <c r="B264" s="2" t="s">
        <v>171</v>
      </c>
      <c r="C264" s="2" t="s">
        <v>48</v>
      </c>
      <c r="D264" s="2" t="str">
        <f aca="false">INDEX(Léky!$B$2:$B$11,MATCH(C264,Léky!$A$2:$A$11,0))</f>
        <v>Amlodipin 5 mg</v>
      </c>
      <c r="E264" s="2" t="str">
        <f aca="false">INDEX(Léky!$E$2:$E$11,MATCH(C264,Léky!$A$2:$A$11,0))</f>
        <v>Krevní tlak</v>
      </c>
      <c r="F264" s="2" t="n">
        <v>1</v>
      </c>
      <c r="G264" s="5" t="n">
        <f aca="false">INDEX(Léky!$H$2:$H$11,MATCH(C264,Léky!$A$2:$A$11,0))</f>
        <v>72</v>
      </c>
      <c r="H264" s="5" t="n">
        <f aca="false">F264*G264</f>
        <v>72</v>
      </c>
    </row>
    <row r="265" customFormat="false" ht="15" hidden="false" customHeight="false" outlineLevel="0" collapsed="false">
      <c r="A265" s="11" t="n">
        <v>45748</v>
      </c>
      <c r="B265" s="2" t="s">
        <v>171</v>
      </c>
      <c r="C265" s="2" t="s">
        <v>57</v>
      </c>
      <c r="D265" s="2" t="str">
        <f aca="false">INDEX(Léky!$B$2:$B$11,MATCH(C265,Léky!$A$2:$A$11,0))</f>
        <v>Levothyroxin 50 µg</v>
      </c>
      <c r="E265" s="2" t="str">
        <f aca="false">INDEX(Léky!$E$2:$E$11,MATCH(C265,Léky!$A$2:$A$11,0))</f>
        <v>Štítná žláza</v>
      </c>
      <c r="F265" s="2" t="n">
        <v>1</v>
      </c>
      <c r="G265" s="5" t="n">
        <f aca="false">INDEX(Léky!$H$2:$H$11,MATCH(C265,Léky!$A$2:$A$11,0))</f>
        <v>118</v>
      </c>
      <c r="H265" s="5" t="n">
        <f aca="false">F265*G265</f>
        <v>118</v>
      </c>
    </row>
    <row r="266" customFormat="false" ht="15" hidden="false" customHeight="false" outlineLevel="0" collapsed="false">
      <c r="A266" s="11" t="n">
        <v>45748</v>
      </c>
      <c r="B266" s="2" t="s">
        <v>171</v>
      </c>
      <c r="C266" s="2" t="s">
        <v>91</v>
      </c>
      <c r="D266" s="2" t="str">
        <f aca="false">INDEX(Léky!$B$2:$B$11,MATCH(C266,Léky!$A$2:$A$11,0))</f>
        <v>Ibuprofen 400 mg</v>
      </c>
      <c r="E266" s="2" t="str">
        <f aca="false">INDEX(Léky!$E$2:$E$11,MATCH(C266,Léky!$A$2:$A$11,0))</f>
        <v>Bolest</v>
      </c>
      <c r="F266" s="2" t="n">
        <v>2</v>
      </c>
      <c r="G266" s="5" t="n">
        <f aca="false">INDEX(Léky!$H$2:$H$11,MATCH(C266,Léky!$A$2:$A$11,0))</f>
        <v>65</v>
      </c>
      <c r="H266" s="5" t="n">
        <f aca="false">F266*G266</f>
        <v>130</v>
      </c>
    </row>
    <row r="267" customFormat="false" ht="15" hidden="false" customHeight="false" outlineLevel="0" collapsed="false">
      <c r="A267" s="11" t="n">
        <v>45748</v>
      </c>
      <c r="B267" s="2" t="s">
        <v>173</v>
      </c>
      <c r="C267" s="2" t="s">
        <v>53</v>
      </c>
      <c r="D267" s="2" t="str">
        <f aca="false">INDEX(Léky!$B$2:$B$11,MATCH(C267,Léky!$A$2:$A$11,0))</f>
        <v>Ramipril 5 mg</v>
      </c>
      <c r="E267" s="2" t="str">
        <f aca="false">INDEX(Léky!$E$2:$E$11,MATCH(C267,Léky!$A$2:$A$11,0))</f>
        <v>Krevní tlak</v>
      </c>
      <c r="F267" s="2" t="n">
        <v>1</v>
      </c>
      <c r="G267" s="5" t="n">
        <f aca="false">INDEX(Léky!$H$2:$H$11,MATCH(C267,Léky!$A$2:$A$11,0))</f>
        <v>98</v>
      </c>
      <c r="H267" s="5" t="n">
        <f aca="false">F267*G267</f>
        <v>98</v>
      </c>
    </row>
    <row r="268" customFormat="false" ht="15" hidden="false" customHeight="false" outlineLevel="0" collapsed="false">
      <c r="A268" s="11" t="n">
        <v>45748</v>
      </c>
      <c r="B268" s="2" t="s">
        <v>174</v>
      </c>
      <c r="C268" s="2" t="s">
        <v>48</v>
      </c>
      <c r="D268" s="2" t="str">
        <f aca="false">INDEX(Léky!$B$2:$B$11,MATCH(C268,Léky!$A$2:$A$11,0))</f>
        <v>Amlodipin 5 mg</v>
      </c>
      <c r="E268" s="2" t="str">
        <f aca="false">INDEX(Léky!$E$2:$E$11,MATCH(C268,Léky!$A$2:$A$11,0))</f>
        <v>Krevní tlak</v>
      </c>
      <c r="F268" s="2" t="n">
        <v>1</v>
      </c>
      <c r="G268" s="5" t="n">
        <f aca="false">INDEX(Léky!$H$2:$H$11,MATCH(C268,Léky!$A$2:$A$11,0))</f>
        <v>72</v>
      </c>
      <c r="H268" s="5" t="n">
        <f aca="false">F268*G268</f>
        <v>72</v>
      </c>
    </row>
    <row r="269" customFormat="false" ht="15" hidden="false" customHeight="false" outlineLevel="0" collapsed="false">
      <c r="A269" s="11" t="n">
        <v>45748</v>
      </c>
      <c r="B269" s="2" t="s">
        <v>174</v>
      </c>
      <c r="C269" s="2" t="s">
        <v>53</v>
      </c>
      <c r="D269" s="2" t="str">
        <f aca="false">INDEX(Léky!$B$2:$B$11,MATCH(C269,Léky!$A$2:$A$11,0))</f>
        <v>Ramipril 5 mg</v>
      </c>
      <c r="E269" s="2" t="str">
        <f aca="false">INDEX(Léky!$E$2:$E$11,MATCH(C269,Léky!$A$2:$A$11,0))</f>
        <v>Krevní tlak</v>
      </c>
      <c r="F269" s="2" t="n">
        <v>1</v>
      </c>
      <c r="G269" s="5" t="n">
        <f aca="false">INDEX(Léky!$H$2:$H$11,MATCH(C269,Léky!$A$2:$A$11,0))</f>
        <v>98</v>
      </c>
      <c r="H269" s="5" t="n">
        <f aca="false">F269*G269</f>
        <v>98</v>
      </c>
    </row>
    <row r="270" customFormat="false" ht="15" hidden="false" customHeight="false" outlineLevel="0" collapsed="false">
      <c r="A270" s="11" t="n">
        <v>45748</v>
      </c>
      <c r="B270" s="2" t="s">
        <v>174</v>
      </c>
      <c r="C270" s="2" t="s">
        <v>84</v>
      </c>
      <c r="D270" s="2" t="str">
        <f aca="false">INDEX(Léky!$B$2:$B$11,MATCH(C270,Léky!$A$2:$A$11,0))</f>
        <v>Amoxicilin 500 mg</v>
      </c>
      <c r="E270" s="2" t="str">
        <f aca="false">INDEX(Léky!$E$2:$E$11,MATCH(C270,Léky!$A$2:$A$11,0))</f>
        <v>Antibiotika</v>
      </c>
      <c r="F270" s="2" t="n">
        <v>1</v>
      </c>
      <c r="G270" s="5" t="n">
        <f aca="false">INDEX(Léky!$H$2:$H$11,MATCH(C270,Léky!$A$2:$A$11,0))</f>
        <v>120</v>
      </c>
      <c r="H270" s="5" t="n">
        <f aca="false">F270*G270</f>
        <v>120</v>
      </c>
    </row>
    <row r="271" customFormat="false" ht="15" hidden="false" customHeight="false" outlineLevel="0" collapsed="false">
      <c r="A271" s="11" t="n">
        <v>45748</v>
      </c>
      <c r="B271" s="2" t="s">
        <v>175</v>
      </c>
      <c r="C271" s="2" t="s">
        <v>63</v>
      </c>
      <c r="D271" s="2" t="str">
        <f aca="false">INDEX(Léky!$B$2:$B$11,MATCH(C271,Léky!$A$2:$A$11,0))</f>
        <v>Omeprazol 20 mg</v>
      </c>
      <c r="E271" s="2" t="str">
        <f aca="false">INDEX(Léky!$E$2:$E$11,MATCH(C271,Léky!$A$2:$A$11,0))</f>
        <v>Trávení</v>
      </c>
      <c r="F271" s="2" t="n">
        <v>1</v>
      </c>
      <c r="G271" s="5" t="n">
        <f aca="false">INDEX(Léky!$H$2:$H$11,MATCH(C271,Léky!$A$2:$A$11,0))</f>
        <v>135</v>
      </c>
      <c r="H271" s="5" t="n">
        <f aca="false">F271*G271</f>
        <v>135</v>
      </c>
    </row>
    <row r="272" customFormat="false" ht="15" hidden="false" customHeight="false" outlineLevel="0" collapsed="false">
      <c r="A272" s="11" t="n">
        <v>45778</v>
      </c>
      <c r="B272" s="2" t="s">
        <v>103</v>
      </c>
      <c r="C272" s="2" t="s">
        <v>34</v>
      </c>
      <c r="D272" s="2" t="str">
        <f aca="false">INDEX(Léky!$B$2:$B$11,MATCH(C272,Léky!$A$2:$A$11,0))</f>
        <v>Metformin 500 mg</v>
      </c>
      <c r="E272" s="2" t="str">
        <f aca="false">INDEX(Léky!$E$2:$E$11,MATCH(C272,Léky!$A$2:$A$11,0))</f>
        <v>Diabetes</v>
      </c>
      <c r="F272" s="2" t="n">
        <v>1</v>
      </c>
      <c r="G272" s="5" t="n">
        <f aca="false">INDEX(Léky!$H$2:$H$11,MATCH(C272,Léky!$A$2:$A$11,0))</f>
        <v>89</v>
      </c>
      <c r="H272" s="5" t="n">
        <f aca="false">F272*G272</f>
        <v>89</v>
      </c>
    </row>
    <row r="273" customFormat="false" ht="15" hidden="false" customHeight="false" outlineLevel="0" collapsed="false">
      <c r="A273" s="11" t="n">
        <v>45778</v>
      </c>
      <c r="B273" s="2" t="s">
        <v>103</v>
      </c>
      <c r="C273" s="2" t="s">
        <v>91</v>
      </c>
      <c r="D273" s="2" t="str">
        <f aca="false">INDEX(Léky!$B$2:$B$11,MATCH(C273,Léky!$A$2:$A$11,0))</f>
        <v>Ibuprofen 400 mg</v>
      </c>
      <c r="E273" s="2" t="str">
        <f aca="false">INDEX(Léky!$E$2:$E$11,MATCH(C273,Léky!$A$2:$A$11,0))</f>
        <v>Bolest</v>
      </c>
      <c r="F273" s="2" t="n">
        <v>1</v>
      </c>
      <c r="G273" s="5" t="n">
        <f aca="false">INDEX(Léky!$H$2:$H$11,MATCH(C273,Léky!$A$2:$A$11,0))</f>
        <v>65</v>
      </c>
      <c r="H273" s="5" t="n">
        <f aca="false">F273*G273</f>
        <v>65</v>
      </c>
    </row>
    <row r="274" customFormat="false" ht="15" hidden="false" customHeight="false" outlineLevel="0" collapsed="false">
      <c r="A274" s="11" t="n">
        <v>45778</v>
      </c>
      <c r="B274" s="2" t="s">
        <v>110</v>
      </c>
      <c r="C274" s="2" t="s">
        <v>63</v>
      </c>
      <c r="D274" s="2" t="str">
        <f aca="false">INDEX(Léky!$B$2:$B$11,MATCH(C274,Léky!$A$2:$A$11,0))</f>
        <v>Omeprazol 20 mg</v>
      </c>
      <c r="E274" s="2" t="str">
        <f aca="false">INDEX(Léky!$E$2:$E$11,MATCH(C274,Léky!$A$2:$A$11,0))</f>
        <v>Trávení</v>
      </c>
      <c r="F274" s="2" t="n">
        <v>1</v>
      </c>
      <c r="G274" s="5" t="n">
        <f aca="false">INDEX(Léky!$H$2:$H$11,MATCH(C274,Léky!$A$2:$A$11,0))</f>
        <v>135</v>
      </c>
      <c r="H274" s="5" t="n">
        <f aca="false">F274*G274</f>
        <v>135</v>
      </c>
    </row>
    <row r="275" customFormat="false" ht="15" hidden="false" customHeight="false" outlineLevel="0" collapsed="false">
      <c r="A275" s="11" t="n">
        <v>45778</v>
      </c>
      <c r="B275" s="2" t="s">
        <v>114</v>
      </c>
      <c r="C275" s="2" t="s">
        <v>53</v>
      </c>
      <c r="D275" s="2" t="str">
        <f aca="false">INDEX(Léky!$B$2:$B$11,MATCH(C275,Léky!$A$2:$A$11,0))</f>
        <v>Ramipril 5 mg</v>
      </c>
      <c r="E275" s="2" t="str">
        <f aca="false">INDEX(Léky!$E$2:$E$11,MATCH(C275,Léky!$A$2:$A$11,0))</f>
        <v>Krevní tlak</v>
      </c>
      <c r="F275" s="2" t="n">
        <v>1</v>
      </c>
      <c r="G275" s="5" t="n">
        <f aca="false">INDEX(Léky!$H$2:$H$11,MATCH(C275,Léky!$A$2:$A$11,0))</f>
        <v>98</v>
      </c>
      <c r="H275" s="5" t="n">
        <f aca="false">F275*G275</f>
        <v>98</v>
      </c>
    </row>
    <row r="276" customFormat="false" ht="15" hidden="false" customHeight="false" outlineLevel="0" collapsed="false">
      <c r="A276" s="11" t="n">
        <v>45778</v>
      </c>
      <c r="B276" s="2" t="s">
        <v>118</v>
      </c>
      <c r="C276" s="2" t="s">
        <v>48</v>
      </c>
      <c r="D276" s="2" t="str">
        <f aca="false">INDEX(Léky!$B$2:$B$11,MATCH(C276,Léky!$A$2:$A$11,0))</f>
        <v>Amlodipin 5 mg</v>
      </c>
      <c r="E276" s="2" t="str">
        <f aca="false">INDEX(Léky!$E$2:$E$11,MATCH(C276,Léky!$A$2:$A$11,0))</f>
        <v>Krevní tlak</v>
      </c>
      <c r="F276" s="2" t="n">
        <v>1</v>
      </c>
      <c r="G276" s="5" t="n">
        <f aca="false">INDEX(Léky!$H$2:$H$11,MATCH(C276,Léky!$A$2:$A$11,0))</f>
        <v>72</v>
      </c>
      <c r="H276" s="5" t="n">
        <f aca="false">F276*G276</f>
        <v>72</v>
      </c>
    </row>
    <row r="277" customFormat="false" ht="15" hidden="false" customHeight="false" outlineLevel="0" collapsed="false">
      <c r="A277" s="11" t="n">
        <v>45778</v>
      </c>
      <c r="B277" s="2" t="s">
        <v>119</v>
      </c>
      <c r="C277" s="2" t="s">
        <v>70</v>
      </c>
      <c r="D277" s="2" t="str">
        <f aca="false">INDEX(Léky!$B$2:$B$11,MATCH(C277,Léky!$A$2:$A$11,0))</f>
        <v>Sertralin 50 mg</v>
      </c>
      <c r="E277" s="2" t="str">
        <f aca="false">INDEX(Léky!$E$2:$E$11,MATCH(C277,Léky!$A$2:$A$11,0))</f>
        <v>Psychiatrie</v>
      </c>
      <c r="F277" s="2" t="n">
        <v>1</v>
      </c>
      <c r="G277" s="5" t="n">
        <f aca="false">INDEX(Léky!$H$2:$H$11,MATCH(C277,Léky!$A$2:$A$11,0))</f>
        <v>210</v>
      </c>
      <c r="H277" s="5" t="n">
        <f aca="false">F277*G277</f>
        <v>210</v>
      </c>
    </row>
    <row r="278" customFormat="false" ht="15" hidden="false" customHeight="false" outlineLevel="0" collapsed="false">
      <c r="A278" s="11" t="n">
        <v>45778</v>
      </c>
      <c r="B278" s="2" t="s">
        <v>124</v>
      </c>
      <c r="C278" s="2" t="s">
        <v>48</v>
      </c>
      <c r="D278" s="2" t="str">
        <f aca="false">INDEX(Léky!$B$2:$B$11,MATCH(C278,Léky!$A$2:$A$11,0))</f>
        <v>Amlodipin 5 mg</v>
      </c>
      <c r="E278" s="2" t="str">
        <f aca="false">INDEX(Léky!$E$2:$E$11,MATCH(C278,Léky!$A$2:$A$11,0))</f>
        <v>Krevní tlak</v>
      </c>
      <c r="F278" s="2" t="n">
        <v>1</v>
      </c>
      <c r="G278" s="5" t="n">
        <f aca="false">INDEX(Léky!$H$2:$H$11,MATCH(C278,Léky!$A$2:$A$11,0))</f>
        <v>72</v>
      </c>
      <c r="H278" s="5" t="n">
        <f aca="false">F278*G278</f>
        <v>72</v>
      </c>
    </row>
    <row r="279" customFormat="false" ht="15" hidden="false" customHeight="false" outlineLevel="0" collapsed="false">
      <c r="A279" s="11" t="n">
        <v>45778</v>
      </c>
      <c r="B279" s="2" t="s">
        <v>125</v>
      </c>
      <c r="C279" s="2" t="s">
        <v>70</v>
      </c>
      <c r="D279" s="2" t="str">
        <f aca="false">INDEX(Léky!$B$2:$B$11,MATCH(C279,Léky!$A$2:$A$11,0))</f>
        <v>Sertralin 50 mg</v>
      </c>
      <c r="E279" s="2" t="str">
        <f aca="false">INDEX(Léky!$E$2:$E$11,MATCH(C279,Léky!$A$2:$A$11,0))</f>
        <v>Psychiatrie</v>
      </c>
      <c r="F279" s="2" t="n">
        <v>1</v>
      </c>
      <c r="G279" s="5" t="n">
        <f aca="false">INDEX(Léky!$H$2:$H$11,MATCH(C279,Léky!$A$2:$A$11,0))</f>
        <v>210</v>
      </c>
      <c r="H279" s="5" t="n">
        <f aca="false">F279*G279</f>
        <v>210</v>
      </c>
    </row>
    <row r="280" customFormat="false" ht="15" hidden="false" customHeight="false" outlineLevel="0" collapsed="false">
      <c r="A280" s="11" t="n">
        <v>45778</v>
      </c>
      <c r="B280" s="2" t="s">
        <v>128</v>
      </c>
      <c r="C280" s="2" t="s">
        <v>53</v>
      </c>
      <c r="D280" s="2" t="str">
        <f aca="false">INDEX(Léky!$B$2:$B$11,MATCH(C280,Léky!$A$2:$A$11,0))</f>
        <v>Ramipril 5 mg</v>
      </c>
      <c r="E280" s="2" t="str">
        <f aca="false">INDEX(Léky!$E$2:$E$11,MATCH(C280,Léky!$A$2:$A$11,0))</f>
        <v>Krevní tlak</v>
      </c>
      <c r="F280" s="2" t="n">
        <v>1</v>
      </c>
      <c r="G280" s="5" t="n">
        <f aca="false">INDEX(Léky!$H$2:$H$11,MATCH(C280,Léky!$A$2:$A$11,0))</f>
        <v>98</v>
      </c>
      <c r="H280" s="5" t="n">
        <f aca="false">F280*G280</f>
        <v>98</v>
      </c>
    </row>
    <row r="281" customFormat="false" ht="15" hidden="false" customHeight="false" outlineLevel="0" collapsed="false">
      <c r="A281" s="11" t="n">
        <v>45778</v>
      </c>
      <c r="B281" s="2" t="s">
        <v>129</v>
      </c>
      <c r="C281" s="2" t="s">
        <v>34</v>
      </c>
      <c r="D281" s="2" t="str">
        <f aca="false">INDEX(Léky!$B$2:$B$11,MATCH(C281,Léky!$A$2:$A$11,0))</f>
        <v>Metformin 500 mg</v>
      </c>
      <c r="E281" s="2" t="str">
        <f aca="false">INDEX(Léky!$E$2:$E$11,MATCH(C281,Léky!$A$2:$A$11,0))</f>
        <v>Diabetes</v>
      </c>
      <c r="F281" s="2" t="n">
        <v>2</v>
      </c>
      <c r="G281" s="5" t="n">
        <f aca="false">INDEX(Léky!$H$2:$H$11,MATCH(C281,Léky!$A$2:$A$11,0))</f>
        <v>89</v>
      </c>
      <c r="H281" s="5" t="n">
        <f aca="false">F281*G281</f>
        <v>178</v>
      </c>
    </row>
    <row r="282" customFormat="false" ht="15" hidden="false" customHeight="false" outlineLevel="0" collapsed="false">
      <c r="A282" s="11" t="n">
        <v>45778</v>
      </c>
      <c r="B282" s="2" t="s">
        <v>129</v>
      </c>
      <c r="C282" s="2" t="s">
        <v>70</v>
      </c>
      <c r="D282" s="2" t="str">
        <f aca="false">INDEX(Léky!$B$2:$B$11,MATCH(C282,Léky!$A$2:$A$11,0))</f>
        <v>Sertralin 50 mg</v>
      </c>
      <c r="E282" s="2" t="str">
        <f aca="false">INDEX(Léky!$E$2:$E$11,MATCH(C282,Léky!$A$2:$A$11,0))</f>
        <v>Psychiatrie</v>
      </c>
      <c r="F282" s="2" t="n">
        <v>1</v>
      </c>
      <c r="G282" s="5" t="n">
        <f aca="false">INDEX(Léky!$H$2:$H$11,MATCH(C282,Léky!$A$2:$A$11,0))</f>
        <v>210</v>
      </c>
      <c r="H282" s="5" t="n">
        <f aca="false">F282*G282</f>
        <v>210</v>
      </c>
    </row>
    <row r="283" customFormat="false" ht="15" hidden="false" customHeight="false" outlineLevel="0" collapsed="false">
      <c r="A283" s="11" t="n">
        <v>45778</v>
      </c>
      <c r="B283" s="2" t="s">
        <v>130</v>
      </c>
      <c r="C283" s="2" t="s">
        <v>57</v>
      </c>
      <c r="D283" s="2" t="str">
        <f aca="false">INDEX(Léky!$B$2:$B$11,MATCH(C283,Léky!$A$2:$A$11,0))</f>
        <v>Levothyroxin 50 µg</v>
      </c>
      <c r="E283" s="2" t="str">
        <f aca="false">INDEX(Léky!$E$2:$E$11,MATCH(C283,Léky!$A$2:$A$11,0))</f>
        <v>Štítná žláza</v>
      </c>
      <c r="F283" s="2" t="n">
        <v>1</v>
      </c>
      <c r="G283" s="5" t="n">
        <f aca="false">INDEX(Léky!$H$2:$H$11,MATCH(C283,Léky!$A$2:$A$11,0))</f>
        <v>118</v>
      </c>
      <c r="H283" s="5" t="n">
        <f aca="false">F283*G283</f>
        <v>118</v>
      </c>
    </row>
    <row r="284" customFormat="false" ht="15" hidden="false" customHeight="false" outlineLevel="0" collapsed="false">
      <c r="A284" s="11" t="n">
        <v>45778</v>
      </c>
      <c r="B284" s="2" t="s">
        <v>131</v>
      </c>
      <c r="C284" s="2" t="s">
        <v>34</v>
      </c>
      <c r="D284" s="2" t="str">
        <f aca="false">INDEX(Léky!$B$2:$B$11,MATCH(C284,Léky!$A$2:$A$11,0))</f>
        <v>Metformin 500 mg</v>
      </c>
      <c r="E284" s="2" t="str">
        <f aca="false">INDEX(Léky!$E$2:$E$11,MATCH(C284,Léky!$A$2:$A$11,0))</f>
        <v>Diabetes</v>
      </c>
      <c r="F284" s="2" t="n">
        <v>1</v>
      </c>
      <c r="G284" s="5" t="n">
        <f aca="false">INDEX(Léky!$H$2:$H$11,MATCH(C284,Léky!$A$2:$A$11,0))</f>
        <v>89</v>
      </c>
      <c r="H284" s="5" t="n">
        <f aca="false">F284*G284</f>
        <v>89</v>
      </c>
    </row>
    <row r="285" customFormat="false" ht="15" hidden="false" customHeight="false" outlineLevel="0" collapsed="false">
      <c r="A285" s="11" t="n">
        <v>45778</v>
      </c>
      <c r="B285" s="2" t="s">
        <v>131</v>
      </c>
      <c r="C285" s="2" t="s">
        <v>53</v>
      </c>
      <c r="D285" s="2" t="str">
        <f aca="false">INDEX(Léky!$B$2:$B$11,MATCH(C285,Léky!$A$2:$A$11,0))</f>
        <v>Ramipril 5 mg</v>
      </c>
      <c r="E285" s="2" t="str">
        <f aca="false">INDEX(Léky!$E$2:$E$11,MATCH(C285,Léky!$A$2:$A$11,0))</f>
        <v>Krevní tlak</v>
      </c>
      <c r="F285" s="2" t="n">
        <v>1</v>
      </c>
      <c r="G285" s="5" t="n">
        <f aca="false">INDEX(Léky!$H$2:$H$11,MATCH(C285,Léky!$A$2:$A$11,0))</f>
        <v>98</v>
      </c>
      <c r="H285" s="5" t="n">
        <f aca="false">F285*G285</f>
        <v>98</v>
      </c>
    </row>
    <row r="286" customFormat="false" ht="15" hidden="false" customHeight="false" outlineLevel="0" collapsed="false">
      <c r="A286" s="11" t="n">
        <v>45778</v>
      </c>
      <c r="B286" s="2" t="s">
        <v>133</v>
      </c>
      <c r="C286" s="2" t="s">
        <v>48</v>
      </c>
      <c r="D286" s="2" t="str">
        <f aca="false">INDEX(Léky!$B$2:$B$11,MATCH(C286,Léky!$A$2:$A$11,0))</f>
        <v>Amlodipin 5 mg</v>
      </c>
      <c r="E286" s="2" t="str">
        <f aca="false">INDEX(Léky!$E$2:$E$11,MATCH(C286,Léky!$A$2:$A$11,0))</f>
        <v>Krevní tlak</v>
      </c>
      <c r="F286" s="2" t="n">
        <v>1</v>
      </c>
      <c r="G286" s="5" t="n">
        <f aca="false">INDEX(Léky!$H$2:$H$11,MATCH(C286,Léky!$A$2:$A$11,0))</f>
        <v>72</v>
      </c>
      <c r="H286" s="5" t="n">
        <f aca="false">F286*G286</f>
        <v>72</v>
      </c>
    </row>
    <row r="287" customFormat="false" ht="15" hidden="false" customHeight="false" outlineLevel="0" collapsed="false">
      <c r="A287" s="11" t="n">
        <v>45778</v>
      </c>
      <c r="B287" s="2" t="s">
        <v>133</v>
      </c>
      <c r="C287" s="2" t="s">
        <v>70</v>
      </c>
      <c r="D287" s="2" t="str">
        <f aca="false">INDEX(Léky!$B$2:$B$11,MATCH(C287,Léky!$A$2:$A$11,0))</f>
        <v>Sertralin 50 mg</v>
      </c>
      <c r="E287" s="2" t="str">
        <f aca="false">INDEX(Léky!$E$2:$E$11,MATCH(C287,Léky!$A$2:$A$11,0))</f>
        <v>Psychiatrie</v>
      </c>
      <c r="F287" s="2" t="n">
        <v>1</v>
      </c>
      <c r="G287" s="5" t="n">
        <f aca="false">INDEX(Léky!$H$2:$H$11,MATCH(C287,Léky!$A$2:$A$11,0))</f>
        <v>210</v>
      </c>
      <c r="H287" s="5" t="n">
        <f aca="false">F287*G287</f>
        <v>210</v>
      </c>
    </row>
    <row r="288" customFormat="false" ht="15" hidden="false" customHeight="false" outlineLevel="0" collapsed="false">
      <c r="A288" s="11" t="n">
        <v>45778</v>
      </c>
      <c r="B288" s="2" t="s">
        <v>133</v>
      </c>
      <c r="C288" s="2" t="s">
        <v>91</v>
      </c>
      <c r="D288" s="2" t="str">
        <f aca="false">INDEX(Léky!$B$2:$B$11,MATCH(C288,Léky!$A$2:$A$11,0))</f>
        <v>Ibuprofen 400 mg</v>
      </c>
      <c r="E288" s="2" t="str">
        <f aca="false">INDEX(Léky!$E$2:$E$11,MATCH(C288,Léky!$A$2:$A$11,0))</f>
        <v>Bolest</v>
      </c>
      <c r="F288" s="2" t="n">
        <v>1</v>
      </c>
      <c r="G288" s="5" t="n">
        <f aca="false">INDEX(Léky!$H$2:$H$11,MATCH(C288,Léky!$A$2:$A$11,0))</f>
        <v>65</v>
      </c>
      <c r="H288" s="5" t="n">
        <f aca="false">F288*G288</f>
        <v>65</v>
      </c>
    </row>
    <row r="289" customFormat="false" ht="15" hidden="false" customHeight="false" outlineLevel="0" collapsed="false">
      <c r="A289" s="11" t="n">
        <v>45778</v>
      </c>
      <c r="B289" s="2" t="s">
        <v>134</v>
      </c>
      <c r="C289" s="2" t="s">
        <v>53</v>
      </c>
      <c r="D289" s="2" t="str">
        <f aca="false">INDEX(Léky!$B$2:$B$11,MATCH(C289,Léky!$A$2:$A$11,0))</f>
        <v>Ramipril 5 mg</v>
      </c>
      <c r="E289" s="2" t="str">
        <f aca="false">INDEX(Léky!$E$2:$E$11,MATCH(C289,Léky!$A$2:$A$11,0))</f>
        <v>Krevní tlak</v>
      </c>
      <c r="F289" s="2" t="n">
        <v>1</v>
      </c>
      <c r="G289" s="5" t="n">
        <f aca="false">INDEX(Léky!$H$2:$H$11,MATCH(C289,Léky!$A$2:$A$11,0))</f>
        <v>98</v>
      </c>
      <c r="H289" s="5" t="n">
        <f aca="false">F289*G289</f>
        <v>98</v>
      </c>
    </row>
    <row r="290" customFormat="false" ht="15" hidden="false" customHeight="false" outlineLevel="0" collapsed="false">
      <c r="A290" s="11" t="n">
        <v>45778</v>
      </c>
      <c r="B290" s="2" t="s">
        <v>136</v>
      </c>
      <c r="C290" s="2" t="s">
        <v>34</v>
      </c>
      <c r="D290" s="2" t="str">
        <f aca="false">INDEX(Léky!$B$2:$B$11,MATCH(C290,Léky!$A$2:$A$11,0))</f>
        <v>Metformin 500 mg</v>
      </c>
      <c r="E290" s="2" t="str">
        <f aca="false">INDEX(Léky!$E$2:$E$11,MATCH(C290,Léky!$A$2:$A$11,0))</f>
        <v>Diabetes</v>
      </c>
      <c r="F290" s="2" t="n">
        <v>2</v>
      </c>
      <c r="G290" s="5" t="n">
        <f aca="false">INDEX(Léky!$H$2:$H$11,MATCH(C290,Léky!$A$2:$A$11,0))</f>
        <v>89</v>
      </c>
      <c r="H290" s="5" t="n">
        <f aca="false">F290*G290</f>
        <v>178</v>
      </c>
    </row>
    <row r="291" customFormat="false" ht="15" hidden="false" customHeight="false" outlineLevel="0" collapsed="false">
      <c r="A291" s="11" t="n">
        <v>45778</v>
      </c>
      <c r="B291" s="2" t="s">
        <v>137</v>
      </c>
      <c r="C291" s="2" t="s">
        <v>70</v>
      </c>
      <c r="D291" s="2" t="str">
        <f aca="false">INDEX(Léky!$B$2:$B$11,MATCH(C291,Léky!$A$2:$A$11,0))</f>
        <v>Sertralin 50 mg</v>
      </c>
      <c r="E291" s="2" t="str">
        <f aca="false">INDEX(Léky!$E$2:$E$11,MATCH(C291,Léky!$A$2:$A$11,0))</f>
        <v>Psychiatrie</v>
      </c>
      <c r="F291" s="2" t="n">
        <v>1</v>
      </c>
      <c r="G291" s="5" t="n">
        <f aca="false">INDEX(Léky!$H$2:$H$11,MATCH(C291,Léky!$A$2:$A$11,0))</f>
        <v>210</v>
      </c>
      <c r="H291" s="5" t="n">
        <f aca="false">F291*G291</f>
        <v>210</v>
      </c>
    </row>
    <row r="292" customFormat="false" ht="15" hidden="false" customHeight="false" outlineLevel="0" collapsed="false">
      <c r="A292" s="11" t="n">
        <v>45778</v>
      </c>
      <c r="B292" s="2" t="s">
        <v>138</v>
      </c>
      <c r="C292" s="2" t="s">
        <v>57</v>
      </c>
      <c r="D292" s="2" t="str">
        <f aca="false">INDEX(Léky!$B$2:$B$11,MATCH(C292,Léky!$A$2:$A$11,0))</f>
        <v>Levothyroxin 50 µg</v>
      </c>
      <c r="E292" s="2" t="str">
        <f aca="false">INDEX(Léky!$E$2:$E$11,MATCH(C292,Léky!$A$2:$A$11,0))</f>
        <v>Štítná žláza</v>
      </c>
      <c r="F292" s="2" t="n">
        <v>1</v>
      </c>
      <c r="G292" s="5" t="n">
        <f aca="false">INDEX(Léky!$H$2:$H$11,MATCH(C292,Léky!$A$2:$A$11,0))</f>
        <v>118</v>
      </c>
      <c r="H292" s="5" t="n">
        <f aca="false">F292*G292</f>
        <v>118</v>
      </c>
    </row>
    <row r="293" customFormat="false" ht="15" hidden="false" customHeight="false" outlineLevel="0" collapsed="false">
      <c r="A293" s="11" t="n">
        <v>45778</v>
      </c>
      <c r="B293" s="2" t="s">
        <v>138</v>
      </c>
      <c r="C293" s="2" t="s">
        <v>63</v>
      </c>
      <c r="D293" s="2" t="str">
        <f aca="false">INDEX(Léky!$B$2:$B$11,MATCH(C293,Léky!$A$2:$A$11,0))</f>
        <v>Omeprazol 20 mg</v>
      </c>
      <c r="E293" s="2" t="str">
        <f aca="false">INDEX(Léky!$E$2:$E$11,MATCH(C293,Léky!$A$2:$A$11,0))</f>
        <v>Trávení</v>
      </c>
      <c r="F293" s="2" t="n">
        <v>1</v>
      </c>
      <c r="G293" s="5" t="n">
        <f aca="false">INDEX(Léky!$H$2:$H$11,MATCH(C293,Léky!$A$2:$A$11,0))</f>
        <v>135</v>
      </c>
      <c r="H293" s="5" t="n">
        <f aca="false">F293*G293</f>
        <v>135</v>
      </c>
    </row>
    <row r="294" customFormat="false" ht="15" hidden="false" customHeight="false" outlineLevel="0" collapsed="false">
      <c r="A294" s="11" t="n">
        <v>45778</v>
      </c>
      <c r="B294" s="2" t="s">
        <v>138</v>
      </c>
      <c r="C294" s="2" t="s">
        <v>84</v>
      </c>
      <c r="D294" s="2" t="str">
        <f aca="false">INDEX(Léky!$B$2:$B$11,MATCH(C294,Léky!$A$2:$A$11,0))</f>
        <v>Amoxicilin 500 mg</v>
      </c>
      <c r="E294" s="2" t="str">
        <f aca="false">INDEX(Léky!$E$2:$E$11,MATCH(C294,Léky!$A$2:$A$11,0))</f>
        <v>Antibiotika</v>
      </c>
      <c r="F294" s="2" t="n">
        <v>1</v>
      </c>
      <c r="G294" s="5" t="n">
        <f aca="false">INDEX(Léky!$H$2:$H$11,MATCH(C294,Léky!$A$2:$A$11,0))</f>
        <v>120</v>
      </c>
      <c r="H294" s="5" t="n">
        <f aca="false">F294*G294</f>
        <v>120</v>
      </c>
    </row>
    <row r="295" customFormat="false" ht="15" hidden="false" customHeight="false" outlineLevel="0" collapsed="false">
      <c r="A295" s="11" t="n">
        <v>45778</v>
      </c>
      <c r="B295" s="2" t="s">
        <v>139</v>
      </c>
      <c r="C295" s="2" t="s">
        <v>91</v>
      </c>
      <c r="D295" s="2" t="str">
        <f aca="false">INDEX(Léky!$B$2:$B$11,MATCH(C295,Léky!$A$2:$A$11,0))</f>
        <v>Ibuprofen 400 mg</v>
      </c>
      <c r="E295" s="2" t="str">
        <f aca="false">INDEX(Léky!$E$2:$E$11,MATCH(C295,Léky!$A$2:$A$11,0))</f>
        <v>Bolest</v>
      </c>
      <c r="F295" s="2" t="n">
        <v>1</v>
      </c>
      <c r="G295" s="5" t="n">
        <f aca="false">INDEX(Léky!$H$2:$H$11,MATCH(C295,Léky!$A$2:$A$11,0))</f>
        <v>65</v>
      </c>
      <c r="H295" s="5" t="n">
        <f aca="false">F295*G295</f>
        <v>65</v>
      </c>
    </row>
    <row r="296" customFormat="false" ht="15" hidden="false" customHeight="false" outlineLevel="0" collapsed="false">
      <c r="A296" s="11" t="n">
        <v>45778</v>
      </c>
      <c r="B296" s="2" t="s">
        <v>140</v>
      </c>
      <c r="C296" s="2" t="s">
        <v>42</v>
      </c>
      <c r="D296" s="2" t="str">
        <f aca="false">INDEX(Léky!$B$2:$B$11,MATCH(C296,Léky!$A$2:$A$11,0))</f>
        <v>Atorvastatin 20 mg</v>
      </c>
      <c r="E296" s="2" t="str">
        <f aca="false">INDEX(Léky!$E$2:$E$11,MATCH(C296,Léky!$A$2:$A$11,0))</f>
        <v>Cholesterol</v>
      </c>
      <c r="F296" s="2" t="n">
        <v>1</v>
      </c>
      <c r="G296" s="5" t="n">
        <f aca="false">INDEX(Léky!$H$2:$H$11,MATCH(C296,Léky!$A$2:$A$11,0))</f>
        <v>145</v>
      </c>
      <c r="H296" s="5" t="n">
        <f aca="false">F296*G296</f>
        <v>145</v>
      </c>
    </row>
    <row r="297" customFormat="false" ht="15" hidden="false" customHeight="false" outlineLevel="0" collapsed="false">
      <c r="A297" s="11" t="n">
        <v>45778</v>
      </c>
      <c r="B297" s="2" t="s">
        <v>140</v>
      </c>
      <c r="C297" s="2" t="s">
        <v>48</v>
      </c>
      <c r="D297" s="2" t="str">
        <f aca="false">INDEX(Léky!$B$2:$B$11,MATCH(C297,Léky!$A$2:$A$11,0))</f>
        <v>Amlodipin 5 mg</v>
      </c>
      <c r="E297" s="2" t="str">
        <f aca="false">INDEX(Léky!$E$2:$E$11,MATCH(C297,Léky!$A$2:$A$11,0))</f>
        <v>Krevní tlak</v>
      </c>
      <c r="F297" s="2" t="n">
        <v>1</v>
      </c>
      <c r="G297" s="5" t="n">
        <f aca="false">INDEX(Léky!$H$2:$H$11,MATCH(C297,Léky!$A$2:$A$11,0))</f>
        <v>72</v>
      </c>
      <c r="H297" s="5" t="n">
        <f aca="false">F297*G297</f>
        <v>72</v>
      </c>
    </row>
    <row r="298" customFormat="false" ht="15" hidden="false" customHeight="false" outlineLevel="0" collapsed="false">
      <c r="A298" s="11" t="n">
        <v>45778</v>
      </c>
      <c r="B298" s="2" t="s">
        <v>140</v>
      </c>
      <c r="C298" s="2" t="s">
        <v>57</v>
      </c>
      <c r="D298" s="2" t="str">
        <f aca="false">INDEX(Léky!$B$2:$B$11,MATCH(C298,Léky!$A$2:$A$11,0))</f>
        <v>Levothyroxin 50 µg</v>
      </c>
      <c r="E298" s="2" t="str">
        <f aca="false">INDEX(Léky!$E$2:$E$11,MATCH(C298,Léky!$A$2:$A$11,0))</f>
        <v>Štítná žláza</v>
      </c>
      <c r="F298" s="2" t="n">
        <v>1</v>
      </c>
      <c r="G298" s="5" t="n">
        <f aca="false">INDEX(Léky!$H$2:$H$11,MATCH(C298,Léky!$A$2:$A$11,0))</f>
        <v>118</v>
      </c>
      <c r="H298" s="5" t="n">
        <f aca="false">F298*G298</f>
        <v>118</v>
      </c>
    </row>
    <row r="299" customFormat="false" ht="15" hidden="false" customHeight="false" outlineLevel="0" collapsed="false">
      <c r="A299" s="11" t="n">
        <v>45778</v>
      </c>
      <c r="B299" s="2" t="s">
        <v>140</v>
      </c>
      <c r="C299" s="2" t="s">
        <v>84</v>
      </c>
      <c r="D299" s="2" t="str">
        <f aca="false">INDEX(Léky!$B$2:$B$11,MATCH(C299,Léky!$A$2:$A$11,0))</f>
        <v>Amoxicilin 500 mg</v>
      </c>
      <c r="E299" s="2" t="str">
        <f aca="false">INDEX(Léky!$E$2:$E$11,MATCH(C299,Léky!$A$2:$A$11,0))</f>
        <v>Antibiotika</v>
      </c>
      <c r="F299" s="2" t="n">
        <v>1</v>
      </c>
      <c r="G299" s="5" t="n">
        <f aca="false">INDEX(Léky!$H$2:$H$11,MATCH(C299,Léky!$A$2:$A$11,0))</f>
        <v>120</v>
      </c>
      <c r="H299" s="5" t="n">
        <f aca="false">F299*G299</f>
        <v>120</v>
      </c>
    </row>
    <row r="300" customFormat="false" ht="15" hidden="false" customHeight="false" outlineLevel="0" collapsed="false">
      <c r="A300" s="11" t="n">
        <v>45778</v>
      </c>
      <c r="B300" s="2" t="s">
        <v>141</v>
      </c>
      <c r="C300" s="2" t="s">
        <v>53</v>
      </c>
      <c r="D300" s="2" t="str">
        <f aca="false">INDEX(Léky!$B$2:$B$11,MATCH(C300,Léky!$A$2:$A$11,0))</f>
        <v>Ramipril 5 mg</v>
      </c>
      <c r="E300" s="2" t="str">
        <f aca="false">INDEX(Léky!$E$2:$E$11,MATCH(C300,Léky!$A$2:$A$11,0))</f>
        <v>Krevní tlak</v>
      </c>
      <c r="F300" s="2" t="n">
        <v>1</v>
      </c>
      <c r="G300" s="5" t="n">
        <f aca="false">INDEX(Léky!$H$2:$H$11,MATCH(C300,Léky!$A$2:$A$11,0))</f>
        <v>98</v>
      </c>
      <c r="H300" s="5" t="n">
        <f aca="false">F300*G300</f>
        <v>98</v>
      </c>
    </row>
    <row r="301" customFormat="false" ht="15" hidden="false" customHeight="false" outlineLevel="0" collapsed="false">
      <c r="A301" s="11" t="n">
        <v>45778</v>
      </c>
      <c r="B301" s="2" t="s">
        <v>142</v>
      </c>
      <c r="C301" s="2" t="s">
        <v>48</v>
      </c>
      <c r="D301" s="2" t="str">
        <f aca="false">INDEX(Léky!$B$2:$B$11,MATCH(C301,Léky!$A$2:$A$11,0))</f>
        <v>Amlodipin 5 mg</v>
      </c>
      <c r="E301" s="2" t="str">
        <f aca="false">INDEX(Léky!$E$2:$E$11,MATCH(C301,Léky!$A$2:$A$11,0))</f>
        <v>Krevní tlak</v>
      </c>
      <c r="F301" s="2" t="n">
        <v>1</v>
      </c>
      <c r="G301" s="5" t="n">
        <f aca="false">INDEX(Léky!$H$2:$H$11,MATCH(C301,Léky!$A$2:$A$11,0))</f>
        <v>72</v>
      </c>
      <c r="H301" s="5" t="n">
        <f aca="false">F301*G301</f>
        <v>72</v>
      </c>
    </row>
    <row r="302" customFormat="false" ht="15" hidden="false" customHeight="false" outlineLevel="0" collapsed="false">
      <c r="A302" s="11" t="n">
        <v>45778</v>
      </c>
      <c r="B302" s="2" t="s">
        <v>145</v>
      </c>
      <c r="C302" s="2" t="s">
        <v>42</v>
      </c>
      <c r="D302" s="2" t="str">
        <f aca="false">INDEX(Léky!$B$2:$B$11,MATCH(C302,Léky!$A$2:$A$11,0))</f>
        <v>Atorvastatin 20 mg</v>
      </c>
      <c r="E302" s="2" t="str">
        <f aca="false">INDEX(Léky!$E$2:$E$11,MATCH(C302,Léky!$A$2:$A$11,0))</f>
        <v>Cholesterol</v>
      </c>
      <c r="F302" s="2" t="n">
        <v>1</v>
      </c>
      <c r="G302" s="5" t="n">
        <f aca="false">INDEX(Léky!$H$2:$H$11,MATCH(C302,Léky!$A$2:$A$11,0))</f>
        <v>145</v>
      </c>
      <c r="H302" s="5" t="n">
        <f aca="false">F302*G302</f>
        <v>145</v>
      </c>
    </row>
    <row r="303" customFormat="false" ht="15" hidden="false" customHeight="false" outlineLevel="0" collapsed="false">
      <c r="A303" s="11" t="n">
        <v>45778</v>
      </c>
      <c r="B303" s="2" t="s">
        <v>145</v>
      </c>
      <c r="C303" s="2" t="s">
        <v>57</v>
      </c>
      <c r="D303" s="2" t="str">
        <f aca="false">INDEX(Léky!$B$2:$B$11,MATCH(C303,Léky!$A$2:$A$11,0))</f>
        <v>Levothyroxin 50 µg</v>
      </c>
      <c r="E303" s="2" t="str">
        <f aca="false">INDEX(Léky!$E$2:$E$11,MATCH(C303,Léky!$A$2:$A$11,0))</f>
        <v>Štítná žláza</v>
      </c>
      <c r="F303" s="2" t="n">
        <v>1</v>
      </c>
      <c r="G303" s="5" t="n">
        <f aca="false">INDEX(Léky!$H$2:$H$11,MATCH(C303,Léky!$A$2:$A$11,0))</f>
        <v>118</v>
      </c>
      <c r="H303" s="5" t="n">
        <f aca="false">F303*G303</f>
        <v>118</v>
      </c>
    </row>
    <row r="304" customFormat="false" ht="15" hidden="false" customHeight="false" outlineLevel="0" collapsed="false">
      <c r="A304" s="11" t="n">
        <v>45778</v>
      </c>
      <c r="B304" s="2" t="s">
        <v>147</v>
      </c>
      <c r="C304" s="2" t="s">
        <v>34</v>
      </c>
      <c r="D304" s="2" t="str">
        <f aca="false">INDEX(Léky!$B$2:$B$11,MATCH(C304,Léky!$A$2:$A$11,0))</f>
        <v>Metformin 500 mg</v>
      </c>
      <c r="E304" s="2" t="str">
        <f aca="false">INDEX(Léky!$E$2:$E$11,MATCH(C304,Léky!$A$2:$A$11,0))</f>
        <v>Diabetes</v>
      </c>
      <c r="F304" s="2" t="n">
        <v>1</v>
      </c>
      <c r="G304" s="5" t="n">
        <f aca="false">INDEX(Léky!$H$2:$H$11,MATCH(C304,Léky!$A$2:$A$11,0))</f>
        <v>89</v>
      </c>
      <c r="H304" s="5" t="n">
        <f aca="false">F304*G304</f>
        <v>89</v>
      </c>
    </row>
    <row r="305" customFormat="false" ht="15" hidden="false" customHeight="false" outlineLevel="0" collapsed="false">
      <c r="A305" s="11" t="n">
        <v>45778</v>
      </c>
      <c r="B305" s="2" t="s">
        <v>149</v>
      </c>
      <c r="C305" s="2" t="s">
        <v>48</v>
      </c>
      <c r="D305" s="2" t="str">
        <f aca="false">INDEX(Léky!$B$2:$B$11,MATCH(C305,Léky!$A$2:$A$11,0))</f>
        <v>Amlodipin 5 mg</v>
      </c>
      <c r="E305" s="2" t="str">
        <f aca="false">INDEX(Léky!$E$2:$E$11,MATCH(C305,Léky!$A$2:$A$11,0))</f>
        <v>Krevní tlak</v>
      </c>
      <c r="F305" s="2" t="n">
        <v>1</v>
      </c>
      <c r="G305" s="5" t="n">
        <f aca="false">INDEX(Léky!$H$2:$H$11,MATCH(C305,Léky!$A$2:$A$11,0))</f>
        <v>72</v>
      </c>
      <c r="H305" s="5" t="n">
        <f aca="false">F305*G305</f>
        <v>72</v>
      </c>
    </row>
    <row r="306" customFormat="false" ht="15" hidden="false" customHeight="false" outlineLevel="0" collapsed="false">
      <c r="A306" s="11" t="n">
        <v>45778</v>
      </c>
      <c r="B306" s="2" t="s">
        <v>151</v>
      </c>
      <c r="C306" s="2" t="s">
        <v>63</v>
      </c>
      <c r="D306" s="2" t="str">
        <f aca="false">INDEX(Léky!$B$2:$B$11,MATCH(C306,Léky!$A$2:$A$11,0))</f>
        <v>Omeprazol 20 mg</v>
      </c>
      <c r="E306" s="2" t="str">
        <f aca="false">INDEX(Léky!$E$2:$E$11,MATCH(C306,Léky!$A$2:$A$11,0))</f>
        <v>Trávení</v>
      </c>
      <c r="F306" s="2" t="n">
        <v>1</v>
      </c>
      <c r="G306" s="5" t="n">
        <f aca="false">INDEX(Léky!$H$2:$H$11,MATCH(C306,Léky!$A$2:$A$11,0))</f>
        <v>135</v>
      </c>
      <c r="H306" s="5" t="n">
        <f aca="false">F306*G306</f>
        <v>135</v>
      </c>
    </row>
    <row r="307" customFormat="false" ht="15" hidden="false" customHeight="false" outlineLevel="0" collapsed="false">
      <c r="A307" s="11" t="n">
        <v>45778</v>
      </c>
      <c r="B307" s="2" t="s">
        <v>154</v>
      </c>
      <c r="C307" s="2" t="s">
        <v>48</v>
      </c>
      <c r="D307" s="2" t="str">
        <f aca="false">INDEX(Léky!$B$2:$B$11,MATCH(C307,Léky!$A$2:$A$11,0))</f>
        <v>Amlodipin 5 mg</v>
      </c>
      <c r="E307" s="2" t="str">
        <f aca="false">INDEX(Léky!$E$2:$E$11,MATCH(C307,Léky!$A$2:$A$11,0))</f>
        <v>Krevní tlak</v>
      </c>
      <c r="F307" s="2" t="n">
        <v>1</v>
      </c>
      <c r="G307" s="5" t="n">
        <f aca="false">INDEX(Léky!$H$2:$H$11,MATCH(C307,Léky!$A$2:$A$11,0))</f>
        <v>72</v>
      </c>
      <c r="H307" s="5" t="n">
        <f aca="false">F307*G307</f>
        <v>72</v>
      </c>
    </row>
    <row r="308" customFormat="false" ht="15" hidden="false" customHeight="false" outlineLevel="0" collapsed="false">
      <c r="A308" s="11" t="n">
        <v>45778</v>
      </c>
      <c r="B308" s="2" t="s">
        <v>155</v>
      </c>
      <c r="C308" s="2" t="s">
        <v>42</v>
      </c>
      <c r="D308" s="2" t="str">
        <f aca="false">INDEX(Léky!$B$2:$B$11,MATCH(C308,Léky!$A$2:$A$11,0))</f>
        <v>Atorvastatin 20 mg</v>
      </c>
      <c r="E308" s="2" t="str">
        <f aca="false">INDEX(Léky!$E$2:$E$11,MATCH(C308,Léky!$A$2:$A$11,0))</f>
        <v>Cholesterol</v>
      </c>
      <c r="F308" s="2" t="n">
        <v>1</v>
      </c>
      <c r="G308" s="5" t="n">
        <f aca="false">INDEX(Léky!$H$2:$H$11,MATCH(C308,Léky!$A$2:$A$11,0))</f>
        <v>145</v>
      </c>
      <c r="H308" s="5" t="n">
        <f aca="false">F308*G308</f>
        <v>145</v>
      </c>
    </row>
    <row r="309" customFormat="false" ht="15" hidden="false" customHeight="false" outlineLevel="0" collapsed="false">
      <c r="A309" s="11" t="n">
        <v>45778</v>
      </c>
      <c r="B309" s="2" t="s">
        <v>155</v>
      </c>
      <c r="C309" s="2" t="s">
        <v>48</v>
      </c>
      <c r="D309" s="2" t="str">
        <f aca="false">INDEX(Léky!$B$2:$B$11,MATCH(C309,Léky!$A$2:$A$11,0))</f>
        <v>Amlodipin 5 mg</v>
      </c>
      <c r="E309" s="2" t="str">
        <f aca="false">INDEX(Léky!$E$2:$E$11,MATCH(C309,Léky!$A$2:$A$11,0))</f>
        <v>Krevní tlak</v>
      </c>
      <c r="F309" s="2" t="n">
        <v>1</v>
      </c>
      <c r="G309" s="5" t="n">
        <f aca="false">INDEX(Léky!$H$2:$H$11,MATCH(C309,Léky!$A$2:$A$11,0))</f>
        <v>72</v>
      </c>
      <c r="H309" s="5" t="n">
        <f aca="false">F309*G309</f>
        <v>72</v>
      </c>
    </row>
    <row r="310" customFormat="false" ht="15" hidden="false" customHeight="false" outlineLevel="0" collapsed="false">
      <c r="A310" s="11" t="n">
        <v>45778</v>
      </c>
      <c r="B310" s="2" t="s">
        <v>156</v>
      </c>
      <c r="C310" s="2" t="s">
        <v>53</v>
      </c>
      <c r="D310" s="2" t="str">
        <f aca="false">INDEX(Léky!$B$2:$B$11,MATCH(C310,Léky!$A$2:$A$11,0))</f>
        <v>Ramipril 5 mg</v>
      </c>
      <c r="E310" s="2" t="str">
        <f aca="false">INDEX(Léky!$E$2:$E$11,MATCH(C310,Léky!$A$2:$A$11,0))</f>
        <v>Krevní tlak</v>
      </c>
      <c r="F310" s="2" t="n">
        <v>1</v>
      </c>
      <c r="G310" s="5" t="n">
        <f aca="false">INDEX(Léky!$H$2:$H$11,MATCH(C310,Léky!$A$2:$A$11,0))</f>
        <v>98</v>
      </c>
      <c r="H310" s="5" t="n">
        <f aca="false">F310*G310</f>
        <v>98</v>
      </c>
    </row>
    <row r="311" customFormat="false" ht="15" hidden="false" customHeight="false" outlineLevel="0" collapsed="false">
      <c r="A311" s="11" t="n">
        <v>45778</v>
      </c>
      <c r="B311" s="2" t="s">
        <v>156</v>
      </c>
      <c r="C311" s="2" t="s">
        <v>63</v>
      </c>
      <c r="D311" s="2" t="str">
        <f aca="false">INDEX(Léky!$B$2:$B$11,MATCH(C311,Léky!$A$2:$A$11,0))</f>
        <v>Omeprazol 20 mg</v>
      </c>
      <c r="E311" s="2" t="str">
        <f aca="false">INDEX(Léky!$E$2:$E$11,MATCH(C311,Léky!$A$2:$A$11,0))</f>
        <v>Trávení</v>
      </c>
      <c r="F311" s="2" t="n">
        <v>1</v>
      </c>
      <c r="G311" s="5" t="n">
        <f aca="false">INDEX(Léky!$H$2:$H$11,MATCH(C311,Léky!$A$2:$A$11,0))</f>
        <v>135</v>
      </c>
      <c r="H311" s="5" t="n">
        <f aca="false">F311*G311</f>
        <v>135</v>
      </c>
    </row>
    <row r="312" customFormat="false" ht="15" hidden="false" customHeight="false" outlineLevel="0" collapsed="false">
      <c r="A312" s="11" t="n">
        <v>45778</v>
      </c>
      <c r="B312" s="2" t="s">
        <v>159</v>
      </c>
      <c r="C312" s="2" t="s">
        <v>57</v>
      </c>
      <c r="D312" s="2" t="str">
        <f aca="false">INDEX(Léky!$B$2:$B$11,MATCH(C312,Léky!$A$2:$A$11,0))</f>
        <v>Levothyroxin 50 µg</v>
      </c>
      <c r="E312" s="2" t="str">
        <f aca="false">INDEX(Léky!$E$2:$E$11,MATCH(C312,Léky!$A$2:$A$11,0))</f>
        <v>Štítná žláza</v>
      </c>
      <c r="F312" s="2" t="n">
        <v>1</v>
      </c>
      <c r="G312" s="5" t="n">
        <f aca="false">INDEX(Léky!$H$2:$H$11,MATCH(C312,Léky!$A$2:$A$11,0))</f>
        <v>118</v>
      </c>
      <c r="H312" s="5" t="n">
        <f aca="false">F312*G312</f>
        <v>118</v>
      </c>
    </row>
    <row r="313" customFormat="false" ht="15" hidden="false" customHeight="false" outlineLevel="0" collapsed="false">
      <c r="A313" s="11" t="n">
        <v>45778</v>
      </c>
      <c r="B313" s="2" t="s">
        <v>160</v>
      </c>
      <c r="C313" s="2" t="s">
        <v>48</v>
      </c>
      <c r="D313" s="2" t="str">
        <f aca="false">INDEX(Léky!$B$2:$B$11,MATCH(C313,Léky!$A$2:$A$11,0))</f>
        <v>Amlodipin 5 mg</v>
      </c>
      <c r="E313" s="2" t="str">
        <f aca="false">INDEX(Léky!$E$2:$E$11,MATCH(C313,Léky!$A$2:$A$11,0))</f>
        <v>Krevní tlak</v>
      </c>
      <c r="F313" s="2" t="n">
        <v>1</v>
      </c>
      <c r="G313" s="5" t="n">
        <f aca="false">INDEX(Léky!$H$2:$H$11,MATCH(C313,Léky!$A$2:$A$11,0))</f>
        <v>72</v>
      </c>
      <c r="H313" s="5" t="n">
        <f aca="false">F313*G313</f>
        <v>72</v>
      </c>
    </row>
    <row r="314" customFormat="false" ht="15" hidden="false" customHeight="false" outlineLevel="0" collapsed="false">
      <c r="A314" s="11" t="n">
        <v>45778</v>
      </c>
      <c r="B314" s="2" t="s">
        <v>160</v>
      </c>
      <c r="C314" s="2" t="s">
        <v>57</v>
      </c>
      <c r="D314" s="2" t="str">
        <f aca="false">INDEX(Léky!$B$2:$B$11,MATCH(C314,Léky!$A$2:$A$11,0))</f>
        <v>Levothyroxin 50 µg</v>
      </c>
      <c r="E314" s="2" t="str">
        <f aca="false">INDEX(Léky!$E$2:$E$11,MATCH(C314,Léky!$A$2:$A$11,0))</f>
        <v>Štítná žláza</v>
      </c>
      <c r="F314" s="2" t="n">
        <v>1</v>
      </c>
      <c r="G314" s="5" t="n">
        <f aca="false">INDEX(Léky!$H$2:$H$11,MATCH(C314,Léky!$A$2:$A$11,0))</f>
        <v>118</v>
      </c>
      <c r="H314" s="5" t="n">
        <f aca="false">F314*G314</f>
        <v>118</v>
      </c>
    </row>
    <row r="315" customFormat="false" ht="15" hidden="false" customHeight="false" outlineLevel="0" collapsed="false">
      <c r="A315" s="11" t="n">
        <v>45778</v>
      </c>
      <c r="B315" s="2" t="s">
        <v>160</v>
      </c>
      <c r="C315" s="2" t="s">
        <v>84</v>
      </c>
      <c r="D315" s="2" t="str">
        <f aca="false">INDEX(Léky!$B$2:$B$11,MATCH(C315,Léky!$A$2:$A$11,0))</f>
        <v>Amoxicilin 500 mg</v>
      </c>
      <c r="E315" s="2" t="str">
        <f aca="false">INDEX(Léky!$E$2:$E$11,MATCH(C315,Léky!$A$2:$A$11,0))</f>
        <v>Antibiotika</v>
      </c>
      <c r="F315" s="2" t="n">
        <v>1</v>
      </c>
      <c r="G315" s="5" t="n">
        <f aca="false">INDEX(Léky!$H$2:$H$11,MATCH(C315,Léky!$A$2:$A$11,0))</f>
        <v>120</v>
      </c>
      <c r="H315" s="5" t="n">
        <f aca="false">F315*G315</f>
        <v>120</v>
      </c>
    </row>
    <row r="316" customFormat="false" ht="15" hidden="false" customHeight="false" outlineLevel="0" collapsed="false">
      <c r="A316" s="11" t="n">
        <v>45778</v>
      </c>
      <c r="B316" s="2" t="s">
        <v>161</v>
      </c>
      <c r="C316" s="2" t="s">
        <v>34</v>
      </c>
      <c r="D316" s="2" t="str">
        <f aca="false">INDEX(Léky!$B$2:$B$11,MATCH(C316,Léky!$A$2:$A$11,0))</f>
        <v>Metformin 500 mg</v>
      </c>
      <c r="E316" s="2" t="str">
        <f aca="false">INDEX(Léky!$E$2:$E$11,MATCH(C316,Léky!$A$2:$A$11,0))</f>
        <v>Diabetes</v>
      </c>
      <c r="F316" s="2" t="n">
        <v>2</v>
      </c>
      <c r="G316" s="5" t="n">
        <f aca="false">INDEX(Léky!$H$2:$H$11,MATCH(C316,Léky!$A$2:$A$11,0))</f>
        <v>89</v>
      </c>
      <c r="H316" s="5" t="n">
        <f aca="false">F316*G316</f>
        <v>178</v>
      </c>
    </row>
    <row r="317" customFormat="false" ht="15" hidden="false" customHeight="false" outlineLevel="0" collapsed="false">
      <c r="A317" s="11" t="n">
        <v>45778</v>
      </c>
      <c r="B317" s="2" t="s">
        <v>161</v>
      </c>
      <c r="C317" s="2" t="s">
        <v>53</v>
      </c>
      <c r="D317" s="2" t="str">
        <f aca="false">INDEX(Léky!$B$2:$B$11,MATCH(C317,Léky!$A$2:$A$11,0))</f>
        <v>Ramipril 5 mg</v>
      </c>
      <c r="E317" s="2" t="str">
        <f aca="false">INDEX(Léky!$E$2:$E$11,MATCH(C317,Léky!$A$2:$A$11,0))</f>
        <v>Krevní tlak</v>
      </c>
      <c r="F317" s="2" t="n">
        <v>1</v>
      </c>
      <c r="G317" s="5" t="n">
        <f aca="false">INDEX(Léky!$H$2:$H$11,MATCH(C317,Léky!$A$2:$A$11,0))</f>
        <v>98</v>
      </c>
      <c r="H317" s="5" t="n">
        <f aca="false">F317*G317</f>
        <v>98</v>
      </c>
    </row>
    <row r="318" customFormat="false" ht="15" hidden="false" customHeight="false" outlineLevel="0" collapsed="false">
      <c r="A318" s="11" t="n">
        <v>45778</v>
      </c>
      <c r="B318" s="2" t="s">
        <v>161</v>
      </c>
      <c r="C318" s="2" t="s">
        <v>57</v>
      </c>
      <c r="D318" s="2" t="str">
        <f aca="false">INDEX(Léky!$B$2:$B$11,MATCH(C318,Léky!$A$2:$A$11,0))</f>
        <v>Levothyroxin 50 µg</v>
      </c>
      <c r="E318" s="2" t="str">
        <f aca="false">INDEX(Léky!$E$2:$E$11,MATCH(C318,Léky!$A$2:$A$11,0))</f>
        <v>Štítná žláza</v>
      </c>
      <c r="F318" s="2" t="n">
        <v>1</v>
      </c>
      <c r="G318" s="5" t="n">
        <f aca="false">INDEX(Léky!$H$2:$H$11,MATCH(C318,Léky!$A$2:$A$11,0))</f>
        <v>118</v>
      </c>
      <c r="H318" s="5" t="n">
        <f aca="false">F318*G318</f>
        <v>118</v>
      </c>
    </row>
    <row r="319" customFormat="false" ht="15" hidden="false" customHeight="false" outlineLevel="0" collapsed="false">
      <c r="A319" s="11" t="n">
        <v>45778</v>
      </c>
      <c r="B319" s="2" t="s">
        <v>162</v>
      </c>
      <c r="C319" s="2" t="s">
        <v>42</v>
      </c>
      <c r="D319" s="2" t="str">
        <f aca="false">INDEX(Léky!$B$2:$B$11,MATCH(C319,Léky!$A$2:$A$11,0))</f>
        <v>Atorvastatin 20 mg</v>
      </c>
      <c r="E319" s="2" t="str">
        <f aca="false">INDEX(Léky!$E$2:$E$11,MATCH(C319,Léky!$A$2:$A$11,0))</f>
        <v>Cholesterol</v>
      </c>
      <c r="F319" s="2" t="n">
        <v>1</v>
      </c>
      <c r="G319" s="5" t="n">
        <f aca="false">INDEX(Léky!$H$2:$H$11,MATCH(C319,Léky!$A$2:$A$11,0))</f>
        <v>145</v>
      </c>
      <c r="H319" s="5" t="n">
        <f aca="false">F319*G319</f>
        <v>145</v>
      </c>
    </row>
    <row r="320" customFormat="false" ht="15" hidden="false" customHeight="false" outlineLevel="0" collapsed="false">
      <c r="A320" s="11" t="n">
        <v>45778</v>
      </c>
      <c r="B320" s="2" t="s">
        <v>163</v>
      </c>
      <c r="C320" s="2" t="s">
        <v>63</v>
      </c>
      <c r="D320" s="2" t="str">
        <f aca="false">INDEX(Léky!$B$2:$B$11,MATCH(C320,Léky!$A$2:$A$11,0))</f>
        <v>Omeprazol 20 mg</v>
      </c>
      <c r="E320" s="2" t="str">
        <f aca="false">INDEX(Léky!$E$2:$E$11,MATCH(C320,Léky!$A$2:$A$11,0))</f>
        <v>Trávení</v>
      </c>
      <c r="F320" s="2" t="n">
        <v>1</v>
      </c>
      <c r="G320" s="5" t="n">
        <f aca="false">INDEX(Léky!$H$2:$H$11,MATCH(C320,Léky!$A$2:$A$11,0))</f>
        <v>135</v>
      </c>
      <c r="H320" s="5" t="n">
        <f aca="false">F320*G320</f>
        <v>135</v>
      </c>
    </row>
    <row r="321" customFormat="false" ht="15" hidden="false" customHeight="false" outlineLevel="0" collapsed="false">
      <c r="A321" s="11" t="n">
        <v>45778</v>
      </c>
      <c r="B321" s="2" t="s">
        <v>165</v>
      </c>
      <c r="C321" s="2" t="s">
        <v>76</v>
      </c>
      <c r="D321" s="2" t="str">
        <f aca="false">INDEX(Léky!$B$2:$B$11,MATCH(C321,Léky!$A$2:$A$11,0))</f>
        <v>Salbutamol inhalátor</v>
      </c>
      <c r="E321" s="2" t="str">
        <f aca="false">INDEX(Léky!$E$2:$E$11,MATCH(C321,Léky!$A$2:$A$11,0))</f>
        <v>Dýchací cesty</v>
      </c>
      <c r="F321" s="2" t="n">
        <v>1</v>
      </c>
      <c r="G321" s="5" t="n">
        <f aca="false">INDEX(Léky!$H$2:$H$11,MATCH(C321,Léky!$A$2:$A$11,0))</f>
        <v>165</v>
      </c>
      <c r="H321" s="5" t="n">
        <f aca="false">F321*G321</f>
        <v>165</v>
      </c>
    </row>
    <row r="322" customFormat="false" ht="15" hidden="false" customHeight="false" outlineLevel="0" collapsed="false">
      <c r="A322" s="11" t="n">
        <v>45778</v>
      </c>
      <c r="B322" s="2" t="s">
        <v>166</v>
      </c>
      <c r="C322" s="2" t="s">
        <v>57</v>
      </c>
      <c r="D322" s="2" t="str">
        <f aca="false">INDEX(Léky!$B$2:$B$11,MATCH(C322,Léky!$A$2:$A$11,0))</f>
        <v>Levothyroxin 50 µg</v>
      </c>
      <c r="E322" s="2" t="str">
        <f aca="false">INDEX(Léky!$E$2:$E$11,MATCH(C322,Léky!$A$2:$A$11,0))</f>
        <v>Štítná žláza</v>
      </c>
      <c r="F322" s="2" t="n">
        <v>1</v>
      </c>
      <c r="G322" s="5" t="n">
        <f aca="false">INDEX(Léky!$H$2:$H$11,MATCH(C322,Léky!$A$2:$A$11,0))</f>
        <v>118</v>
      </c>
      <c r="H322" s="5" t="n">
        <f aca="false">F322*G322</f>
        <v>118</v>
      </c>
    </row>
    <row r="323" customFormat="false" ht="15" hidden="false" customHeight="false" outlineLevel="0" collapsed="false">
      <c r="A323" s="11" t="n">
        <v>45778</v>
      </c>
      <c r="B323" s="2" t="s">
        <v>167</v>
      </c>
      <c r="C323" s="2" t="s">
        <v>53</v>
      </c>
      <c r="D323" s="2" t="str">
        <f aca="false">INDEX(Léky!$B$2:$B$11,MATCH(C323,Léky!$A$2:$A$11,0))</f>
        <v>Ramipril 5 mg</v>
      </c>
      <c r="E323" s="2" t="str">
        <f aca="false">INDEX(Léky!$E$2:$E$11,MATCH(C323,Léky!$A$2:$A$11,0))</f>
        <v>Krevní tlak</v>
      </c>
      <c r="F323" s="2" t="n">
        <v>1</v>
      </c>
      <c r="G323" s="5" t="n">
        <f aca="false">INDEX(Léky!$H$2:$H$11,MATCH(C323,Léky!$A$2:$A$11,0))</f>
        <v>98</v>
      </c>
      <c r="H323" s="5" t="n">
        <f aca="false">F323*G323</f>
        <v>98</v>
      </c>
    </row>
    <row r="324" customFormat="false" ht="15" hidden="false" customHeight="false" outlineLevel="0" collapsed="false">
      <c r="A324" s="11" t="n">
        <v>45778</v>
      </c>
      <c r="B324" s="2" t="s">
        <v>168</v>
      </c>
      <c r="C324" s="2" t="s">
        <v>34</v>
      </c>
      <c r="D324" s="2" t="str">
        <f aca="false">INDEX(Léky!$B$2:$B$11,MATCH(C324,Léky!$A$2:$A$11,0))</f>
        <v>Metformin 500 mg</v>
      </c>
      <c r="E324" s="2" t="str">
        <f aca="false">INDEX(Léky!$E$2:$E$11,MATCH(C324,Léky!$A$2:$A$11,0))</f>
        <v>Diabetes</v>
      </c>
      <c r="F324" s="2" t="n">
        <v>1</v>
      </c>
      <c r="G324" s="5" t="n">
        <f aca="false">INDEX(Léky!$H$2:$H$11,MATCH(C324,Léky!$A$2:$A$11,0))</f>
        <v>89</v>
      </c>
      <c r="H324" s="5" t="n">
        <f aca="false">F324*G324</f>
        <v>89</v>
      </c>
    </row>
    <row r="325" customFormat="false" ht="15" hidden="false" customHeight="false" outlineLevel="0" collapsed="false">
      <c r="A325" s="11" t="n">
        <v>45778</v>
      </c>
      <c r="B325" s="2" t="s">
        <v>169</v>
      </c>
      <c r="C325" s="2" t="s">
        <v>63</v>
      </c>
      <c r="D325" s="2" t="str">
        <f aca="false">INDEX(Léky!$B$2:$B$11,MATCH(C325,Léky!$A$2:$A$11,0))</f>
        <v>Omeprazol 20 mg</v>
      </c>
      <c r="E325" s="2" t="str">
        <f aca="false">INDEX(Léky!$E$2:$E$11,MATCH(C325,Léky!$A$2:$A$11,0))</f>
        <v>Trávení</v>
      </c>
      <c r="F325" s="2" t="n">
        <v>1</v>
      </c>
      <c r="G325" s="5" t="n">
        <f aca="false">INDEX(Léky!$H$2:$H$11,MATCH(C325,Léky!$A$2:$A$11,0))</f>
        <v>135</v>
      </c>
      <c r="H325" s="5" t="n">
        <f aca="false">F325*G325</f>
        <v>135</v>
      </c>
    </row>
    <row r="326" customFormat="false" ht="15" hidden="false" customHeight="false" outlineLevel="0" collapsed="false">
      <c r="A326" s="11" t="n">
        <v>45778</v>
      </c>
      <c r="B326" s="2" t="s">
        <v>170</v>
      </c>
      <c r="C326" s="2" t="s">
        <v>63</v>
      </c>
      <c r="D326" s="2" t="str">
        <f aca="false">INDEX(Léky!$B$2:$B$11,MATCH(C326,Léky!$A$2:$A$11,0))</f>
        <v>Omeprazol 20 mg</v>
      </c>
      <c r="E326" s="2" t="str">
        <f aca="false">INDEX(Léky!$E$2:$E$11,MATCH(C326,Léky!$A$2:$A$11,0))</f>
        <v>Trávení</v>
      </c>
      <c r="F326" s="2" t="n">
        <v>1</v>
      </c>
      <c r="G326" s="5" t="n">
        <f aca="false">INDEX(Léky!$H$2:$H$11,MATCH(C326,Léky!$A$2:$A$11,0))</f>
        <v>135</v>
      </c>
      <c r="H326" s="5" t="n">
        <f aca="false">F326*G326</f>
        <v>135</v>
      </c>
    </row>
    <row r="327" customFormat="false" ht="15" hidden="false" customHeight="false" outlineLevel="0" collapsed="false">
      <c r="A327" s="11" t="n">
        <v>45778</v>
      </c>
      <c r="B327" s="2" t="s">
        <v>170</v>
      </c>
      <c r="C327" s="2" t="s">
        <v>84</v>
      </c>
      <c r="D327" s="2" t="str">
        <f aca="false">INDEX(Léky!$B$2:$B$11,MATCH(C327,Léky!$A$2:$A$11,0))</f>
        <v>Amoxicilin 500 mg</v>
      </c>
      <c r="E327" s="2" t="str">
        <f aca="false">INDEX(Léky!$E$2:$E$11,MATCH(C327,Léky!$A$2:$A$11,0))</f>
        <v>Antibiotika</v>
      </c>
      <c r="F327" s="2" t="n">
        <v>1</v>
      </c>
      <c r="G327" s="5" t="n">
        <f aca="false">INDEX(Léky!$H$2:$H$11,MATCH(C327,Léky!$A$2:$A$11,0))</f>
        <v>120</v>
      </c>
      <c r="H327" s="5" t="n">
        <f aca="false">F327*G327</f>
        <v>120</v>
      </c>
    </row>
    <row r="328" customFormat="false" ht="15" hidden="false" customHeight="false" outlineLevel="0" collapsed="false">
      <c r="A328" s="11" t="n">
        <v>45778</v>
      </c>
      <c r="B328" s="2" t="s">
        <v>171</v>
      </c>
      <c r="C328" s="2" t="s">
        <v>34</v>
      </c>
      <c r="D328" s="2" t="str">
        <f aca="false">INDEX(Léky!$B$2:$B$11,MATCH(C328,Léky!$A$2:$A$11,0))</f>
        <v>Metformin 500 mg</v>
      </c>
      <c r="E328" s="2" t="str">
        <f aca="false">INDEX(Léky!$E$2:$E$11,MATCH(C328,Léky!$A$2:$A$11,0))</f>
        <v>Diabetes</v>
      </c>
      <c r="F328" s="2" t="n">
        <v>2</v>
      </c>
      <c r="G328" s="5" t="n">
        <f aca="false">INDEX(Léky!$H$2:$H$11,MATCH(C328,Léky!$A$2:$A$11,0))</f>
        <v>89</v>
      </c>
      <c r="H328" s="5" t="n">
        <f aca="false">F328*G328</f>
        <v>178</v>
      </c>
    </row>
    <row r="329" customFormat="false" ht="15" hidden="false" customHeight="false" outlineLevel="0" collapsed="false">
      <c r="A329" s="11" t="n">
        <v>45778</v>
      </c>
      <c r="B329" s="2" t="s">
        <v>171</v>
      </c>
      <c r="C329" s="2" t="s">
        <v>48</v>
      </c>
      <c r="D329" s="2" t="str">
        <f aca="false">INDEX(Léky!$B$2:$B$11,MATCH(C329,Léky!$A$2:$A$11,0))</f>
        <v>Amlodipin 5 mg</v>
      </c>
      <c r="E329" s="2" t="str">
        <f aca="false">INDEX(Léky!$E$2:$E$11,MATCH(C329,Léky!$A$2:$A$11,0))</f>
        <v>Krevní tlak</v>
      </c>
      <c r="F329" s="2" t="n">
        <v>1</v>
      </c>
      <c r="G329" s="5" t="n">
        <f aca="false">INDEX(Léky!$H$2:$H$11,MATCH(C329,Léky!$A$2:$A$11,0))</f>
        <v>72</v>
      </c>
      <c r="H329" s="5" t="n">
        <f aca="false">F329*G329</f>
        <v>72</v>
      </c>
    </row>
    <row r="330" customFormat="false" ht="15" hidden="false" customHeight="false" outlineLevel="0" collapsed="false">
      <c r="A330" s="11" t="n">
        <v>45778</v>
      </c>
      <c r="B330" s="2" t="s">
        <v>171</v>
      </c>
      <c r="C330" s="2" t="s">
        <v>91</v>
      </c>
      <c r="D330" s="2" t="str">
        <f aca="false">INDEX(Léky!$B$2:$B$11,MATCH(C330,Léky!$A$2:$A$11,0))</f>
        <v>Ibuprofen 400 mg</v>
      </c>
      <c r="E330" s="2" t="str">
        <f aca="false">INDEX(Léky!$E$2:$E$11,MATCH(C330,Léky!$A$2:$A$11,0))</f>
        <v>Bolest</v>
      </c>
      <c r="F330" s="2" t="n">
        <v>1</v>
      </c>
      <c r="G330" s="5" t="n">
        <f aca="false">INDEX(Léky!$H$2:$H$11,MATCH(C330,Léky!$A$2:$A$11,0))</f>
        <v>65</v>
      </c>
      <c r="H330" s="5" t="n">
        <f aca="false">F330*G330</f>
        <v>65</v>
      </c>
    </row>
    <row r="331" customFormat="false" ht="15" hidden="false" customHeight="false" outlineLevel="0" collapsed="false">
      <c r="A331" s="11" t="n">
        <v>45778</v>
      </c>
      <c r="B331" s="2" t="s">
        <v>173</v>
      </c>
      <c r="C331" s="2" t="s">
        <v>53</v>
      </c>
      <c r="D331" s="2" t="str">
        <f aca="false">INDEX(Léky!$B$2:$B$11,MATCH(C331,Léky!$A$2:$A$11,0))</f>
        <v>Ramipril 5 mg</v>
      </c>
      <c r="E331" s="2" t="str">
        <f aca="false">INDEX(Léky!$E$2:$E$11,MATCH(C331,Léky!$A$2:$A$11,0))</f>
        <v>Krevní tlak</v>
      </c>
      <c r="F331" s="2" t="n">
        <v>1</v>
      </c>
      <c r="G331" s="5" t="n">
        <f aca="false">INDEX(Léky!$H$2:$H$11,MATCH(C331,Léky!$A$2:$A$11,0))</f>
        <v>98</v>
      </c>
      <c r="H331" s="5" t="n">
        <f aca="false">F331*G331</f>
        <v>98</v>
      </c>
    </row>
    <row r="332" customFormat="false" ht="15" hidden="false" customHeight="false" outlineLevel="0" collapsed="false">
      <c r="A332" s="11" t="n">
        <v>45778</v>
      </c>
      <c r="B332" s="2" t="s">
        <v>174</v>
      </c>
      <c r="C332" s="2" t="s">
        <v>53</v>
      </c>
      <c r="D332" s="2" t="str">
        <f aca="false">INDEX(Léky!$B$2:$B$11,MATCH(C332,Léky!$A$2:$A$11,0))</f>
        <v>Ramipril 5 mg</v>
      </c>
      <c r="E332" s="2" t="str">
        <f aca="false">INDEX(Léky!$E$2:$E$11,MATCH(C332,Léky!$A$2:$A$11,0))</f>
        <v>Krevní tlak</v>
      </c>
      <c r="F332" s="2" t="n">
        <v>1</v>
      </c>
      <c r="G332" s="5" t="n">
        <f aca="false">INDEX(Léky!$H$2:$H$11,MATCH(C332,Léky!$A$2:$A$11,0))</f>
        <v>98</v>
      </c>
      <c r="H332" s="5" t="n">
        <f aca="false">F332*G332</f>
        <v>98</v>
      </c>
    </row>
    <row r="333" customFormat="false" ht="15" hidden="false" customHeight="false" outlineLevel="0" collapsed="false">
      <c r="A333" s="11" t="n">
        <v>45778</v>
      </c>
      <c r="B333" s="2" t="s">
        <v>175</v>
      </c>
      <c r="C333" s="2" t="s">
        <v>63</v>
      </c>
      <c r="D333" s="2" t="str">
        <f aca="false">INDEX(Léky!$B$2:$B$11,MATCH(C333,Léky!$A$2:$A$11,0))</f>
        <v>Omeprazol 20 mg</v>
      </c>
      <c r="E333" s="2" t="str">
        <f aca="false">INDEX(Léky!$E$2:$E$11,MATCH(C333,Léky!$A$2:$A$11,0))</f>
        <v>Trávení</v>
      </c>
      <c r="F333" s="2" t="n">
        <v>1</v>
      </c>
      <c r="G333" s="5" t="n">
        <f aca="false">INDEX(Léky!$H$2:$H$11,MATCH(C333,Léky!$A$2:$A$11,0))</f>
        <v>135</v>
      </c>
      <c r="H333" s="5" t="n">
        <f aca="false">F333*G333</f>
        <v>135</v>
      </c>
    </row>
    <row r="334" customFormat="false" ht="15" hidden="false" customHeight="false" outlineLevel="0" collapsed="false">
      <c r="A334" s="11" t="n">
        <v>45778</v>
      </c>
      <c r="B334" s="2" t="s">
        <v>175</v>
      </c>
      <c r="C334" s="2" t="s">
        <v>84</v>
      </c>
      <c r="D334" s="2" t="str">
        <f aca="false">INDEX(Léky!$B$2:$B$11,MATCH(C334,Léky!$A$2:$A$11,0))</f>
        <v>Amoxicilin 500 mg</v>
      </c>
      <c r="E334" s="2" t="str">
        <f aca="false">INDEX(Léky!$E$2:$E$11,MATCH(C334,Léky!$A$2:$A$11,0))</f>
        <v>Antibiotika</v>
      </c>
      <c r="F334" s="2" t="n">
        <v>1</v>
      </c>
      <c r="G334" s="5" t="n">
        <f aca="false">INDEX(Léky!$H$2:$H$11,MATCH(C334,Léky!$A$2:$A$11,0))</f>
        <v>120</v>
      </c>
      <c r="H334" s="5" t="n">
        <f aca="false">F334*G334</f>
        <v>120</v>
      </c>
    </row>
    <row r="335" customFormat="false" ht="15" hidden="false" customHeight="false" outlineLevel="0" collapsed="false">
      <c r="A335" s="11" t="n">
        <v>45809</v>
      </c>
      <c r="B335" s="2" t="s">
        <v>103</v>
      </c>
      <c r="C335" s="2" t="s">
        <v>34</v>
      </c>
      <c r="D335" s="2" t="str">
        <f aca="false">INDEX(Léky!$B$2:$B$11,MATCH(C335,Léky!$A$2:$A$11,0))</f>
        <v>Metformin 500 mg</v>
      </c>
      <c r="E335" s="2" t="str">
        <f aca="false">INDEX(Léky!$E$2:$E$11,MATCH(C335,Léky!$A$2:$A$11,0))</f>
        <v>Diabetes</v>
      </c>
      <c r="F335" s="2" t="n">
        <v>1</v>
      </c>
      <c r="G335" s="5" t="n">
        <f aca="false">INDEX(Léky!$H$2:$H$11,MATCH(C335,Léky!$A$2:$A$11,0))</f>
        <v>89</v>
      </c>
      <c r="H335" s="5" t="n">
        <f aca="false">F335*G335</f>
        <v>89</v>
      </c>
    </row>
    <row r="336" customFormat="false" ht="15" hidden="false" customHeight="false" outlineLevel="0" collapsed="false">
      <c r="A336" s="11" t="n">
        <v>45809</v>
      </c>
      <c r="B336" s="2" t="s">
        <v>110</v>
      </c>
      <c r="C336" s="2" t="s">
        <v>63</v>
      </c>
      <c r="D336" s="2" t="str">
        <f aca="false">INDEX(Léky!$B$2:$B$11,MATCH(C336,Léky!$A$2:$A$11,0))</f>
        <v>Omeprazol 20 mg</v>
      </c>
      <c r="E336" s="2" t="str">
        <f aca="false">INDEX(Léky!$E$2:$E$11,MATCH(C336,Léky!$A$2:$A$11,0))</f>
        <v>Trávení</v>
      </c>
      <c r="F336" s="2" t="n">
        <v>1</v>
      </c>
      <c r="G336" s="5" t="n">
        <f aca="false">INDEX(Léky!$H$2:$H$11,MATCH(C336,Léky!$A$2:$A$11,0))</f>
        <v>135</v>
      </c>
      <c r="H336" s="5" t="n">
        <f aca="false">F336*G336</f>
        <v>135</v>
      </c>
    </row>
    <row r="337" customFormat="false" ht="15" hidden="false" customHeight="false" outlineLevel="0" collapsed="false">
      <c r="A337" s="11" t="n">
        <v>45809</v>
      </c>
      <c r="B337" s="2" t="s">
        <v>110</v>
      </c>
      <c r="C337" s="2" t="s">
        <v>91</v>
      </c>
      <c r="D337" s="2" t="str">
        <f aca="false">INDEX(Léky!$B$2:$B$11,MATCH(C337,Léky!$A$2:$A$11,0))</f>
        <v>Ibuprofen 400 mg</v>
      </c>
      <c r="E337" s="2" t="str">
        <f aca="false">INDEX(Léky!$E$2:$E$11,MATCH(C337,Léky!$A$2:$A$11,0))</f>
        <v>Bolest</v>
      </c>
      <c r="F337" s="2" t="n">
        <v>1</v>
      </c>
      <c r="G337" s="5" t="n">
        <f aca="false">INDEX(Léky!$H$2:$H$11,MATCH(C337,Léky!$A$2:$A$11,0))</f>
        <v>65</v>
      </c>
      <c r="H337" s="5" t="n">
        <f aca="false">F337*G337</f>
        <v>65</v>
      </c>
    </row>
    <row r="338" customFormat="false" ht="15" hidden="false" customHeight="false" outlineLevel="0" collapsed="false">
      <c r="A338" s="11" t="n">
        <v>45809</v>
      </c>
      <c r="B338" s="2" t="s">
        <v>114</v>
      </c>
      <c r="C338" s="2" t="s">
        <v>91</v>
      </c>
      <c r="D338" s="2" t="str">
        <f aca="false">INDEX(Léky!$B$2:$B$11,MATCH(C338,Léky!$A$2:$A$11,0))</f>
        <v>Ibuprofen 400 mg</v>
      </c>
      <c r="E338" s="2" t="str">
        <f aca="false">INDEX(Léky!$E$2:$E$11,MATCH(C338,Léky!$A$2:$A$11,0))</f>
        <v>Bolest</v>
      </c>
      <c r="F338" s="2" t="n">
        <v>1</v>
      </c>
      <c r="G338" s="5" t="n">
        <f aca="false">INDEX(Léky!$H$2:$H$11,MATCH(C338,Léky!$A$2:$A$11,0))</f>
        <v>65</v>
      </c>
      <c r="H338" s="5" t="n">
        <f aca="false">F338*G338</f>
        <v>65</v>
      </c>
    </row>
    <row r="339" customFormat="false" ht="15" hidden="false" customHeight="false" outlineLevel="0" collapsed="false">
      <c r="A339" s="11" t="n">
        <v>45809</v>
      </c>
      <c r="B339" s="2" t="s">
        <v>118</v>
      </c>
      <c r="C339" s="2" t="s">
        <v>48</v>
      </c>
      <c r="D339" s="2" t="str">
        <f aca="false">INDEX(Léky!$B$2:$B$11,MATCH(C339,Léky!$A$2:$A$11,0))</f>
        <v>Amlodipin 5 mg</v>
      </c>
      <c r="E339" s="2" t="str">
        <f aca="false">INDEX(Léky!$E$2:$E$11,MATCH(C339,Léky!$A$2:$A$11,0))</f>
        <v>Krevní tlak</v>
      </c>
      <c r="F339" s="2" t="n">
        <v>1</v>
      </c>
      <c r="G339" s="5" t="n">
        <f aca="false">INDEX(Léky!$H$2:$H$11,MATCH(C339,Léky!$A$2:$A$11,0))</f>
        <v>72</v>
      </c>
      <c r="H339" s="5" t="n">
        <f aca="false">F339*G339</f>
        <v>72</v>
      </c>
    </row>
    <row r="340" customFormat="false" ht="15" hidden="false" customHeight="false" outlineLevel="0" collapsed="false">
      <c r="A340" s="11" t="n">
        <v>45809</v>
      </c>
      <c r="B340" s="2" t="s">
        <v>119</v>
      </c>
      <c r="C340" s="2" t="s">
        <v>70</v>
      </c>
      <c r="D340" s="2" t="str">
        <f aca="false">INDEX(Léky!$B$2:$B$11,MATCH(C340,Léky!$A$2:$A$11,0))</f>
        <v>Sertralin 50 mg</v>
      </c>
      <c r="E340" s="2" t="str">
        <f aca="false">INDEX(Léky!$E$2:$E$11,MATCH(C340,Léky!$A$2:$A$11,0))</f>
        <v>Psychiatrie</v>
      </c>
      <c r="F340" s="2" t="n">
        <v>1</v>
      </c>
      <c r="G340" s="5" t="n">
        <f aca="false">INDEX(Léky!$H$2:$H$11,MATCH(C340,Léky!$A$2:$A$11,0))</f>
        <v>210</v>
      </c>
      <c r="H340" s="5" t="n">
        <f aca="false">F340*G340</f>
        <v>210</v>
      </c>
    </row>
    <row r="341" customFormat="false" ht="15" hidden="false" customHeight="false" outlineLevel="0" collapsed="false">
      <c r="A341" s="11" t="n">
        <v>45809</v>
      </c>
      <c r="B341" s="2" t="s">
        <v>121</v>
      </c>
      <c r="C341" s="2" t="s">
        <v>76</v>
      </c>
      <c r="D341" s="2" t="str">
        <f aca="false">INDEX(Léky!$B$2:$B$11,MATCH(C341,Léky!$A$2:$A$11,0))</f>
        <v>Salbutamol inhalátor</v>
      </c>
      <c r="E341" s="2" t="str">
        <f aca="false">INDEX(Léky!$E$2:$E$11,MATCH(C341,Léky!$A$2:$A$11,0))</f>
        <v>Dýchací cesty</v>
      </c>
      <c r="F341" s="2" t="n">
        <v>1</v>
      </c>
      <c r="G341" s="5" t="n">
        <f aca="false">INDEX(Léky!$H$2:$H$11,MATCH(C341,Léky!$A$2:$A$11,0))</f>
        <v>165</v>
      </c>
      <c r="H341" s="5" t="n">
        <f aca="false">F341*G341</f>
        <v>165</v>
      </c>
    </row>
    <row r="342" customFormat="false" ht="15" hidden="false" customHeight="false" outlineLevel="0" collapsed="false">
      <c r="A342" s="11" t="n">
        <v>45809</v>
      </c>
      <c r="B342" s="2" t="s">
        <v>123</v>
      </c>
      <c r="C342" s="2" t="s">
        <v>91</v>
      </c>
      <c r="D342" s="2" t="str">
        <f aca="false">INDEX(Léky!$B$2:$B$11,MATCH(C342,Léky!$A$2:$A$11,0))</f>
        <v>Ibuprofen 400 mg</v>
      </c>
      <c r="E342" s="2" t="str">
        <f aca="false">INDEX(Léky!$E$2:$E$11,MATCH(C342,Léky!$A$2:$A$11,0))</f>
        <v>Bolest</v>
      </c>
      <c r="F342" s="2" t="n">
        <v>2</v>
      </c>
      <c r="G342" s="5" t="n">
        <f aca="false">INDEX(Léky!$H$2:$H$11,MATCH(C342,Léky!$A$2:$A$11,0))</f>
        <v>65</v>
      </c>
      <c r="H342" s="5" t="n">
        <f aca="false">F342*G342</f>
        <v>130</v>
      </c>
    </row>
    <row r="343" customFormat="false" ht="15" hidden="false" customHeight="false" outlineLevel="0" collapsed="false">
      <c r="A343" s="11" t="n">
        <v>45809</v>
      </c>
      <c r="B343" s="2" t="s">
        <v>124</v>
      </c>
      <c r="C343" s="2" t="s">
        <v>48</v>
      </c>
      <c r="D343" s="2" t="str">
        <f aca="false">INDEX(Léky!$B$2:$B$11,MATCH(C343,Léky!$A$2:$A$11,0))</f>
        <v>Amlodipin 5 mg</v>
      </c>
      <c r="E343" s="2" t="str">
        <f aca="false">INDEX(Léky!$E$2:$E$11,MATCH(C343,Léky!$A$2:$A$11,0))</f>
        <v>Krevní tlak</v>
      </c>
      <c r="F343" s="2" t="n">
        <v>1</v>
      </c>
      <c r="G343" s="5" t="n">
        <f aca="false">INDEX(Léky!$H$2:$H$11,MATCH(C343,Léky!$A$2:$A$11,0))</f>
        <v>72</v>
      </c>
      <c r="H343" s="5" t="n">
        <f aca="false">F343*G343</f>
        <v>72</v>
      </c>
    </row>
    <row r="344" customFormat="false" ht="15" hidden="false" customHeight="false" outlineLevel="0" collapsed="false">
      <c r="A344" s="11" t="n">
        <v>45809</v>
      </c>
      <c r="B344" s="2" t="s">
        <v>125</v>
      </c>
      <c r="C344" s="2" t="s">
        <v>70</v>
      </c>
      <c r="D344" s="2" t="str">
        <f aca="false">INDEX(Léky!$B$2:$B$11,MATCH(C344,Léky!$A$2:$A$11,0))</f>
        <v>Sertralin 50 mg</v>
      </c>
      <c r="E344" s="2" t="str">
        <f aca="false">INDEX(Léky!$E$2:$E$11,MATCH(C344,Léky!$A$2:$A$11,0))</f>
        <v>Psychiatrie</v>
      </c>
      <c r="F344" s="2" t="n">
        <v>1</v>
      </c>
      <c r="G344" s="5" t="n">
        <f aca="false">INDEX(Léky!$H$2:$H$11,MATCH(C344,Léky!$A$2:$A$11,0))</f>
        <v>210</v>
      </c>
      <c r="H344" s="5" t="n">
        <f aca="false">F344*G344</f>
        <v>210</v>
      </c>
    </row>
    <row r="345" customFormat="false" ht="15" hidden="false" customHeight="false" outlineLevel="0" collapsed="false">
      <c r="A345" s="11" t="n">
        <v>45809</v>
      </c>
      <c r="B345" s="2" t="s">
        <v>127</v>
      </c>
      <c r="C345" s="2" t="s">
        <v>70</v>
      </c>
      <c r="D345" s="2" t="str">
        <f aca="false">INDEX(Léky!$B$2:$B$11,MATCH(C345,Léky!$A$2:$A$11,0))</f>
        <v>Sertralin 50 mg</v>
      </c>
      <c r="E345" s="2" t="str">
        <f aca="false">INDEX(Léky!$E$2:$E$11,MATCH(C345,Léky!$A$2:$A$11,0))</f>
        <v>Psychiatrie</v>
      </c>
      <c r="F345" s="2" t="n">
        <v>1</v>
      </c>
      <c r="G345" s="5" t="n">
        <f aca="false">INDEX(Léky!$H$2:$H$11,MATCH(C345,Léky!$A$2:$A$11,0))</f>
        <v>210</v>
      </c>
      <c r="H345" s="5" t="n">
        <f aca="false">F345*G345</f>
        <v>210</v>
      </c>
    </row>
    <row r="346" customFormat="false" ht="15" hidden="false" customHeight="false" outlineLevel="0" collapsed="false">
      <c r="A346" s="11" t="n">
        <v>45809</v>
      </c>
      <c r="B346" s="2" t="s">
        <v>128</v>
      </c>
      <c r="C346" s="2" t="s">
        <v>53</v>
      </c>
      <c r="D346" s="2" t="str">
        <f aca="false">INDEX(Léky!$B$2:$B$11,MATCH(C346,Léky!$A$2:$A$11,0))</f>
        <v>Ramipril 5 mg</v>
      </c>
      <c r="E346" s="2" t="str">
        <f aca="false">INDEX(Léky!$E$2:$E$11,MATCH(C346,Léky!$A$2:$A$11,0))</f>
        <v>Krevní tlak</v>
      </c>
      <c r="F346" s="2" t="n">
        <v>1</v>
      </c>
      <c r="G346" s="5" t="n">
        <f aca="false">INDEX(Léky!$H$2:$H$11,MATCH(C346,Léky!$A$2:$A$11,0))</f>
        <v>98</v>
      </c>
      <c r="H346" s="5" t="n">
        <f aca="false">F346*G346</f>
        <v>98</v>
      </c>
    </row>
    <row r="347" customFormat="false" ht="15" hidden="false" customHeight="false" outlineLevel="0" collapsed="false">
      <c r="A347" s="11" t="n">
        <v>45809</v>
      </c>
      <c r="B347" s="2" t="s">
        <v>128</v>
      </c>
      <c r="C347" s="2" t="s">
        <v>84</v>
      </c>
      <c r="D347" s="2" t="str">
        <f aca="false">INDEX(Léky!$B$2:$B$11,MATCH(C347,Léky!$A$2:$A$11,0))</f>
        <v>Amoxicilin 500 mg</v>
      </c>
      <c r="E347" s="2" t="str">
        <f aca="false">INDEX(Léky!$E$2:$E$11,MATCH(C347,Léky!$A$2:$A$11,0))</f>
        <v>Antibiotika</v>
      </c>
      <c r="F347" s="2" t="n">
        <v>1</v>
      </c>
      <c r="G347" s="5" t="n">
        <f aca="false">INDEX(Léky!$H$2:$H$11,MATCH(C347,Léky!$A$2:$A$11,0))</f>
        <v>120</v>
      </c>
      <c r="H347" s="5" t="n">
        <f aca="false">F347*G347</f>
        <v>120</v>
      </c>
    </row>
    <row r="348" customFormat="false" ht="15" hidden="false" customHeight="false" outlineLevel="0" collapsed="false">
      <c r="A348" s="11" t="n">
        <v>45809</v>
      </c>
      <c r="B348" s="2" t="s">
        <v>129</v>
      </c>
      <c r="C348" s="2" t="s">
        <v>34</v>
      </c>
      <c r="D348" s="2" t="str">
        <f aca="false">INDEX(Léky!$B$2:$B$11,MATCH(C348,Léky!$A$2:$A$11,0))</f>
        <v>Metformin 500 mg</v>
      </c>
      <c r="E348" s="2" t="str">
        <f aca="false">INDEX(Léky!$E$2:$E$11,MATCH(C348,Léky!$A$2:$A$11,0))</f>
        <v>Diabetes</v>
      </c>
      <c r="F348" s="2" t="n">
        <v>1</v>
      </c>
      <c r="G348" s="5" t="n">
        <f aca="false">INDEX(Léky!$H$2:$H$11,MATCH(C348,Léky!$A$2:$A$11,0))</f>
        <v>89</v>
      </c>
      <c r="H348" s="5" t="n">
        <f aca="false">F348*G348</f>
        <v>89</v>
      </c>
    </row>
    <row r="349" customFormat="false" ht="15" hidden="false" customHeight="false" outlineLevel="0" collapsed="false">
      <c r="A349" s="11" t="n">
        <v>45809</v>
      </c>
      <c r="B349" s="2" t="s">
        <v>129</v>
      </c>
      <c r="C349" s="2" t="s">
        <v>70</v>
      </c>
      <c r="D349" s="2" t="str">
        <f aca="false">INDEX(Léky!$B$2:$B$11,MATCH(C349,Léky!$A$2:$A$11,0))</f>
        <v>Sertralin 50 mg</v>
      </c>
      <c r="E349" s="2" t="str">
        <f aca="false">INDEX(Léky!$E$2:$E$11,MATCH(C349,Léky!$A$2:$A$11,0))</f>
        <v>Psychiatrie</v>
      </c>
      <c r="F349" s="2" t="n">
        <v>1</v>
      </c>
      <c r="G349" s="5" t="n">
        <f aca="false">INDEX(Léky!$H$2:$H$11,MATCH(C349,Léky!$A$2:$A$11,0))</f>
        <v>210</v>
      </c>
      <c r="H349" s="5" t="n">
        <f aca="false">F349*G349</f>
        <v>210</v>
      </c>
    </row>
    <row r="350" customFormat="false" ht="15" hidden="false" customHeight="false" outlineLevel="0" collapsed="false">
      <c r="A350" s="11" t="n">
        <v>45809</v>
      </c>
      <c r="B350" s="2" t="s">
        <v>130</v>
      </c>
      <c r="C350" s="2" t="s">
        <v>57</v>
      </c>
      <c r="D350" s="2" t="str">
        <f aca="false">INDEX(Léky!$B$2:$B$11,MATCH(C350,Léky!$A$2:$A$11,0))</f>
        <v>Levothyroxin 50 µg</v>
      </c>
      <c r="E350" s="2" t="str">
        <f aca="false">INDEX(Léky!$E$2:$E$11,MATCH(C350,Léky!$A$2:$A$11,0))</f>
        <v>Štítná žláza</v>
      </c>
      <c r="F350" s="2" t="n">
        <v>1</v>
      </c>
      <c r="G350" s="5" t="n">
        <f aca="false">INDEX(Léky!$H$2:$H$11,MATCH(C350,Léky!$A$2:$A$11,0))</f>
        <v>118</v>
      </c>
      <c r="H350" s="5" t="n">
        <f aca="false">F350*G350</f>
        <v>118</v>
      </c>
    </row>
    <row r="351" customFormat="false" ht="15" hidden="false" customHeight="false" outlineLevel="0" collapsed="false">
      <c r="A351" s="11" t="n">
        <v>45809</v>
      </c>
      <c r="B351" s="2" t="s">
        <v>131</v>
      </c>
      <c r="C351" s="2" t="s">
        <v>34</v>
      </c>
      <c r="D351" s="2" t="str">
        <f aca="false">INDEX(Léky!$B$2:$B$11,MATCH(C351,Léky!$A$2:$A$11,0))</f>
        <v>Metformin 500 mg</v>
      </c>
      <c r="E351" s="2" t="str">
        <f aca="false">INDEX(Léky!$E$2:$E$11,MATCH(C351,Léky!$A$2:$A$11,0))</f>
        <v>Diabetes</v>
      </c>
      <c r="F351" s="2" t="n">
        <v>2</v>
      </c>
      <c r="G351" s="5" t="n">
        <f aca="false">INDEX(Léky!$H$2:$H$11,MATCH(C351,Léky!$A$2:$A$11,0))</f>
        <v>89</v>
      </c>
      <c r="H351" s="5" t="n">
        <f aca="false">F351*G351</f>
        <v>178</v>
      </c>
    </row>
    <row r="352" customFormat="false" ht="15" hidden="false" customHeight="false" outlineLevel="0" collapsed="false">
      <c r="A352" s="11" t="n">
        <v>45809</v>
      </c>
      <c r="B352" s="2" t="s">
        <v>131</v>
      </c>
      <c r="C352" s="2" t="s">
        <v>53</v>
      </c>
      <c r="D352" s="2" t="str">
        <f aca="false">INDEX(Léky!$B$2:$B$11,MATCH(C352,Léky!$A$2:$A$11,0))</f>
        <v>Ramipril 5 mg</v>
      </c>
      <c r="E352" s="2" t="str">
        <f aca="false">INDEX(Léky!$E$2:$E$11,MATCH(C352,Léky!$A$2:$A$11,0))</f>
        <v>Krevní tlak</v>
      </c>
      <c r="F352" s="2" t="n">
        <v>1</v>
      </c>
      <c r="G352" s="5" t="n">
        <f aca="false">INDEX(Léky!$H$2:$H$11,MATCH(C352,Léky!$A$2:$A$11,0))</f>
        <v>98</v>
      </c>
      <c r="H352" s="5" t="n">
        <f aca="false">F352*G352</f>
        <v>98</v>
      </c>
    </row>
    <row r="353" customFormat="false" ht="15" hidden="false" customHeight="false" outlineLevel="0" collapsed="false">
      <c r="A353" s="11" t="n">
        <v>45809</v>
      </c>
      <c r="B353" s="2" t="s">
        <v>133</v>
      </c>
      <c r="C353" s="2" t="s">
        <v>48</v>
      </c>
      <c r="D353" s="2" t="str">
        <f aca="false">INDEX(Léky!$B$2:$B$11,MATCH(C353,Léky!$A$2:$A$11,0))</f>
        <v>Amlodipin 5 mg</v>
      </c>
      <c r="E353" s="2" t="str">
        <f aca="false">INDEX(Léky!$E$2:$E$11,MATCH(C353,Léky!$A$2:$A$11,0))</f>
        <v>Krevní tlak</v>
      </c>
      <c r="F353" s="2" t="n">
        <v>1</v>
      </c>
      <c r="G353" s="5" t="n">
        <f aca="false">INDEX(Léky!$H$2:$H$11,MATCH(C353,Léky!$A$2:$A$11,0))</f>
        <v>72</v>
      </c>
      <c r="H353" s="5" t="n">
        <f aca="false">F353*G353</f>
        <v>72</v>
      </c>
    </row>
    <row r="354" customFormat="false" ht="15" hidden="false" customHeight="false" outlineLevel="0" collapsed="false">
      <c r="A354" s="11" t="n">
        <v>45809</v>
      </c>
      <c r="B354" s="2" t="s">
        <v>133</v>
      </c>
      <c r="C354" s="2" t="s">
        <v>70</v>
      </c>
      <c r="D354" s="2" t="str">
        <f aca="false">INDEX(Léky!$B$2:$B$11,MATCH(C354,Léky!$A$2:$A$11,0))</f>
        <v>Sertralin 50 mg</v>
      </c>
      <c r="E354" s="2" t="str">
        <f aca="false">INDEX(Léky!$E$2:$E$11,MATCH(C354,Léky!$A$2:$A$11,0))</f>
        <v>Psychiatrie</v>
      </c>
      <c r="F354" s="2" t="n">
        <v>1</v>
      </c>
      <c r="G354" s="5" t="n">
        <f aca="false">INDEX(Léky!$H$2:$H$11,MATCH(C354,Léky!$A$2:$A$11,0))</f>
        <v>210</v>
      </c>
      <c r="H354" s="5" t="n">
        <f aca="false">F354*G354</f>
        <v>210</v>
      </c>
    </row>
    <row r="355" customFormat="false" ht="15" hidden="false" customHeight="false" outlineLevel="0" collapsed="false">
      <c r="A355" s="11" t="n">
        <v>45809</v>
      </c>
      <c r="B355" s="2" t="s">
        <v>134</v>
      </c>
      <c r="C355" s="2" t="s">
        <v>53</v>
      </c>
      <c r="D355" s="2" t="str">
        <f aca="false">INDEX(Léky!$B$2:$B$11,MATCH(C355,Léky!$A$2:$A$11,0))</f>
        <v>Ramipril 5 mg</v>
      </c>
      <c r="E355" s="2" t="str">
        <f aca="false">INDEX(Léky!$E$2:$E$11,MATCH(C355,Léky!$A$2:$A$11,0))</f>
        <v>Krevní tlak</v>
      </c>
      <c r="F355" s="2" t="n">
        <v>1</v>
      </c>
      <c r="G355" s="5" t="n">
        <f aca="false">INDEX(Léky!$H$2:$H$11,MATCH(C355,Léky!$A$2:$A$11,0))</f>
        <v>98</v>
      </c>
      <c r="H355" s="5" t="n">
        <f aca="false">F355*G355</f>
        <v>98</v>
      </c>
    </row>
    <row r="356" customFormat="false" ht="15" hidden="false" customHeight="false" outlineLevel="0" collapsed="false">
      <c r="A356" s="11" t="n">
        <v>45809</v>
      </c>
      <c r="B356" s="2" t="s">
        <v>135</v>
      </c>
      <c r="C356" s="2" t="s">
        <v>63</v>
      </c>
      <c r="D356" s="2" t="str">
        <f aca="false">INDEX(Léky!$B$2:$B$11,MATCH(C356,Léky!$A$2:$A$11,0))</f>
        <v>Omeprazol 20 mg</v>
      </c>
      <c r="E356" s="2" t="str">
        <f aca="false">INDEX(Léky!$E$2:$E$11,MATCH(C356,Léky!$A$2:$A$11,0))</f>
        <v>Trávení</v>
      </c>
      <c r="F356" s="2" t="n">
        <v>1</v>
      </c>
      <c r="G356" s="5" t="n">
        <f aca="false">INDEX(Léky!$H$2:$H$11,MATCH(C356,Léky!$A$2:$A$11,0))</f>
        <v>135</v>
      </c>
      <c r="H356" s="5" t="n">
        <f aca="false">F356*G356</f>
        <v>135</v>
      </c>
    </row>
    <row r="357" customFormat="false" ht="15" hidden="false" customHeight="false" outlineLevel="0" collapsed="false">
      <c r="A357" s="11" t="n">
        <v>45809</v>
      </c>
      <c r="B357" s="2" t="s">
        <v>135</v>
      </c>
      <c r="C357" s="2" t="s">
        <v>84</v>
      </c>
      <c r="D357" s="2" t="str">
        <f aca="false">INDEX(Léky!$B$2:$B$11,MATCH(C357,Léky!$A$2:$A$11,0))</f>
        <v>Amoxicilin 500 mg</v>
      </c>
      <c r="E357" s="2" t="str">
        <f aca="false">INDEX(Léky!$E$2:$E$11,MATCH(C357,Léky!$A$2:$A$11,0))</f>
        <v>Antibiotika</v>
      </c>
      <c r="F357" s="2" t="n">
        <v>1</v>
      </c>
      <c r="G357" s="5" t="n">
        <f aca="false">INDEX(Léky!$H$2:$H$11,MATCH(C357,Léky!$A$2:$A$11,0))</f>
        <v>120</v>
      </c>
      <c r="H357" s="5" t="n">
        <f aca="false">F357*G357</f>
        <v>120</v>
      </c>
    </row>
    <row r="358" customFormat="false" ht="15" hidden="false" customHeight="false" outlineLevel="0" collapsed="false">
      <c r="A358" s="11" t="n">
        <v>45809</v>
      </c>
      <c r="B358" s="2" t="s">
        <v>136</v>
      </c>
      <c r="C358" s="2" t="s">
        <v>34</v>
      </c>
      <c r="D358" s="2" t="str">
        <f aca="false">INDEX(Léky!$B$2:$B$11,MATCH(C358,Léky!$A$2:$A$11,0))</f>
        <v>Metformin 500 mg</v>
      </c>
      <c r="E358" s="2" t="str">
        <f aca="false">INDEX(Léky!$E$2:$E$11,MATCH(C358,Léky!$A$2:$A$11,0))</f>
        <v>Diabetes</v>
      </c>
      <c r="F358" s="2" t="n">
        <v>2</v>
      </c>
      <c r="G358" s="5" t="n">
        <f aca="false">INDEX(Léky!$H$2:$H$11,MATCH(C358,Léky!$A$2:$A$11,0))</f>
        <v>89</v>
      </c>
      <c r="H358" s="5" t="n">
        <f aca="false">F358*G358</f>
        <v>178</v>
      </c>
    </row>
    <row r="359" customFormat="false" ht="15" hidden="false" customHeight="false" outlineLevel="0" collapsed="false">
      <c r="A359" s="11" t="n">
        <v>45809</v>
      </c>
      <c r="B359" s="2" t="s">
        <v>137</v>
      </c>
      <c r="C359" s="2" t="s">
        <v>70</v>
      </c>
      <c r="D359" s="2" t="str">
        <f aca="false">INDEX(Léky!$B$2:$B$11,MATCH(C359,Léky!$A$2:$A$11,0))</f>
        <v>Sertralin 50 mg</v>
      </c>
      <c r="E359" s="2" t="str">
        <f aca="false">INDEX(Léky!$E$2:$E$11,MATCH(C359,Léky!$A$2:$A$11,0))</f>
        <v>Psychiatrie</v>
      </c>
      <c r="F359" s="2" t="n">
        <v>1</v>
      </c>
      <c r="G359" s="5" t="n">
        <f aca="false">INDEX(Léky!$H$2:$H$11,MATCH(C359,Léky!$A$2:$A$11,0))</f>
        <v>210</v>
      </c>
      <c r="H359" s="5" t="n">
        <f aca="false">F359*G359</f>
        <v>210</v>
      </c>
    </row>
    <row r="360" customFormat="false" ht="15" hidden="false" customHeight="false" outlineLevel="0" collapsed="false">
      <c r="A360" s="11" t="n">
        <v>45809</v>
      </c>
      <c r="B360" s="2" t="s">
        <v>138</v>
      </c>
      <c r="C360" s="2" t="s">
        <v>48</v>
      </c>
      <c r="D360" s="2" t="str">
        <f aca="false">INDEX(Léky!$B$2:$B$11,MATCH(C360,Léky!$A$2:$A$11,0))</f>
        <v>Amlodipin 5 mg</v>
      </c>
      <c r="E360" s="2" t="str">
        <f aca="false">INDEX(Léky!$E$2:$E$11,MATCH(C360,Léky!$A$2:$A$11,0))</f>
        <v>Krevní tlak</v>
      </c>
      <c r="F360" s="2" t="n">
        <v>1</v>
      </c>
      <c r="G360" s="5" t="n">
        <f aca="false">INDEX(Léky!$H$2:$H$11,MATCH(C360,Léky!$A$2:$A$11,0))</f>
        <v>72</v>
      </c>
      <c r="H360" s="5" t="n">
        <f aca="false">F360*G360</f>
        <v>72</v>
      </c>
    </row>
    <row r="361" customFormat="false" ht="15" hidden="false" customHeight="false" outlineLevel="0" collapsed="false">
      <c r="A361" s="11" t="n">
        <v>45809</v>
      </c>
      <c r="B361" s="2" t="s">
        <v>138</v>
      </c>
      <c r="C361" s="2" t="s">
        <v>57</v>
      </c>
      <c r="D361" s="2" t="str">
        <f aca="false">INDEX(Léky!$B$2:$B$11,MATCH(C361,Léky!$A$2:$A$11,0))</f>
        <v>Levothyroxin 50 µg</v>
      </c>
      <c r="E361" s="2" t="str">
        <f aca="false">INDEX(Léky!$E$2:$E$11,MATCH(C361,Léky!$A$2:$A$11,0))</f>
        <v>Štítná žláza</v>
      </c>
      <c r="F361" s="2" t="n">
        <v>1</v>
      </c>
      <c r="G361" s="5" t="n">
        <f aca="false">INDEX(Léky!$H$2:$H$11,MATCH(C361,Léky!$A$2:$A$11,0))</f>
        <v>118</v>
      </c>
      <c r="H361" s="5" t="n">
        <f aca="false">F361*G361</f>
        <v>118</v>
      </c>
    </row>
    <row r="362" customFormat="false" ht="15" hidden="false" customHeight="false" outlineLevel="0" collapsed="false">
      <c r="A362" s="11" t="n">
        <v>45809</v>
      </c>
      <c r="B362" s="2" t="s">
        <v>138</v>
      </c>
      <c r="C362" s="2" t="s">
        <v>63</v>
      </c>
      <c r="D362" s="2" t="str">
        <f aca="false">INDEX(Léky!$B$2:$B$11,MATCH(C362,Léky!$A$2:$A$11,0))</f>
        <v>Omeprazol 20 mg</v>
      </c>
      <c r="E362" s="2" t="str">
        <f aca="false">INDEX(Léky!$E$2:$E$11,MATCH(C362,Léky!$A$2:$A$11,0))</f>
        <v>Trávení</v>
      </c>
      <c r="F362" s="2" t="n">
        <v>1</v>
      </c>
      <c r="G362" s="5" t="n">
        <f aca="false">INDEX(Léky!$H$2:$H$11,MATCH(C362,Léky!$A$2:$A$11,0))</f>
        <v>135</v>
      </c>
      <c r="H362" s="5" t="n">
        <f aca="false">F362*G362</f>
        <v>135</v>
      </c>
    </row>
    <row r="363" customFormat="false" ht="15" hidden="false" customHeight="false" outlineLevel="0" collapsed="false">
      <c r="A363" s="11" t="n">
        <v>45809</v>
      </c>
      <c r="B363" s="2" t="s">
        <v>140</v>
      </c>
      <c r="C363" s="2" t="s">
        <v>48</v>
      </c>
      <c r="D363" s="2" t="str">
        <f aca="false">INDEX(Léky!$B$2:$B$11,MATCH(C363,Léky!$A$2:$A$11,0))</f>
        <v>Amlodipin 5 mg</v>
      </c>
      <c r="E363" s="2" t="str">
        <f aca="false">INDEX(Léky!$E$2:$E$11,MATCH(C363,Léky!$A$2:$A$11,0))</f>
        <v>Krevní tlak</v>
      </c>
      <c r="F363" s="2" t="n">
        <v>1</v>
      </c>
      <c r="G363" s="5" t="n">
        <f aca="false">INDEX(Léky!$H$2:$H$11,MATCH(C363,Léky!$A$2:$A$11,0))</f>
        <v>72</v>
      </c>
      <c r="H363" s="5" t="n">
        <f aca="false">F363*G363</f>
        <v>72</v>
      </c>
    </row>
    <row r="364" customFormat="false" ht="15" hidden="false" customHeight="false" outlineLevel="0" collapsed="false">
      <c r="A364" s="11" t="n">
        <v>45809</v>
      </c>
      <c r="B364" s="2" t="s">
        <v>140</v>
      </c>
      <c r="C364" s="2" t="s">
        <v>57</v>
      </c>
      <c r="D364" s="2" t="str">
        <f aca="false">INDEX(Léky!$B$2:$B$11,MATCH(C364,Léky!$A$2:$A$11,0))</f>
        <v>Levothyroxin 50 µg</v>
      </c>
      <c r="E364" s="2" t="str">
        <f aca="false">INDEX(Léky!$E$2:$E$11,MATCH(C364,Léky!$A$2:$A$11,0))</f>
        <v>Štítná žláza</v>
      </c>
      <c r="F364" s="2" t="n">
        <v>1</v>
      </c>
      <c r="G364" s="5" t="n">
        <f aca="false">INDEX(Léky!$H$2:$H$11,MATCH(C364,Léky!$A$2:$A$11,0))</f>
        <v>118</v>
      </c>
      <c r="H364" s="5" t="n">
        <f aca="false">F364*G364</f>
        <v>118</v>
      </c>
    </row>
    <row r="365" customFormat="false" ht="15" hidden="false" customHeight="false" outlineLevel="0" collapsed="false">
      <c r="A365" s="11" t="n">
        <v>45809</v>
      </c>
      <c r="B365" s="2" t="s">
        <v>140</v>
      </c>
      <c r="C365" s="2" t="s">
        <v>91</v>
      </c>
      <c r="D365" s="2" t="str">
        <f aca="false">INDEX(Léky!$B$2:$B$11,MATCH(C365,Léky!$A$2:$A$11,0))</f>
        <v>Ibuprofen 400 mg</v>
      </c>
      <c r="E365" s="2" t="str">
        <f aca="false">INDEX(Léky!$E$2:$E$11,MATCH(C365,Léky!$A$2:$A$11,0))</f>
        <v>Bolest</v>
      </c>
      <c r="F365" s="2" t="n">
        <v>2</v>
      </c>
      <c r="G365" s="5" t="n">
        <f aca="false">INDEX(Léky!$H$2:$H$11,MATCH(C365,Léky!$A$2:$A$11,0))</f>
        <v>65</v>
      </c>
      <c r="H365" s="5" t="n">
        <f aca="false">F365*G365</f>
        <v>130</v>
      </c>
    </row>
    <row r="366" customFormat="false" ht="15" hidden="false" customHeight="false" outlineLevel="0" collapsed="false">
      <c r="A366" s="11" t="n">
        <v>45809</v>
      </c>
      <c r="B366" s="2" t="s">
        <v>141</v>
      </c>
      <c r="C366" s="2" t="s">
        <v>53</v>
      </c>
      <c r="D366" s="2" t="str">
        <f aca="false">INDEX(Léky!$B$2:$B$11,MATCH(C366,Léky!$A$2:$A$11,0))</f>
        <v>Ramipril 5 mg</v>
      </c>
      <c r="E366" s="2" t="str">
        <f aca="false">INDEX(Léky!$E$2:$E$11,MATCH(C366,Léky!$A$2:$A$11,0))</f>
        <v>Krevní tlak</v>
      </c>
      <c r="F366" s="2" t="n">
        <v>1</v>
      </c>
      <c r="G366" s="5" t="n">
        <f aca="false">INDEX(Léky!$H$2:$H$11,MATCH(C366,Léky!$A$2:$A$11,0))</f>
        <v>98</v>
      </c>
      <c r="H366" s="5" t="n">
        <f aca="false">F366*G366</f>
        <v>98</v>
      </c>
    </row>
    <row r="367" customFormat="false" ht="15" hidden="false" customHeight="false" outlineLevel="0" collapsed="false">
      <c r="A367" s="11" t="n">
        <v>45809</v>
      </c>
      <c r="B367" s="2" t="s">
        <v>141</v>
      </c>
      <c r="C367" s="2" t="s">
        <v>91</v>
      </c>
      <c r="D367" s="2" t="str">
        <f aca="false">INDEX(Léky!$B$2:$B$11,MATCH(C367,Léky!$A$2:$A$11,0))</f>
        <v>Ibuprofen 400 mg</v>
      </c>
      <c r="E367" s="2" t="str">
        <f aca="false">INDEX(Léky!$E$2:$E$11,MATCH(C367,Léky!$A$2:$A$11,0))</f>
        <v>Bolest</v>
      </c>
      <c r="F367" s="2" t="n">
        <v>1</v>
      </c>
      <c r="G367" s="5" t="n">
        <f aca="false">INDEX(Léky!$H$2:$H$11,MATCH(C367,Léky!$A$2:$A$11,0))</f>
        <v>65</v>
      </c>
      <c r="H367" s="5" t="n">
        <f aca="false">F367*G367</f>
        <v>65</v>
      </c>
    </row>
    <row r="368" customFormat="false" ht="15" hidden="false" customHeight="false" outlineLevel="0" collapsed="false">
      <c r="A368" s="11" t="n">
        <v>45809</v>
      </c>
      <c r="B368" s="2" t="s">
        <v>142</v>
      </c>
      <c r="C368" s="2" t="s">
        <v>48</v>
      </c>
      <c r="D368" s="2" t="str">
        <f aca="false">INDEX(Léky!$B$2:$B$11,MATCH(C368,Léky!$A$2:$A$11,0))</f>
        <v>Amlodipin 5 mg</v>
      </c>
      <c r="E368" s="2" t="str">
        <f aca="false">INDEX(Léky!$E$2:$E$11,MATCH(C368,Léky!$A$2:$A$11,0))</f>
        <v>Krevní tlak</v>
      </c>
      <c r="F368" s="2" t="n">
        <v>1</v>
      </c>
      <c r="G368" s="5" t="n">
        <f aca="false">INDEX(Léky!$H$2:$H$11,MATCH(C368,Léky!$A$2:$A$11,0))</f>
        <v>72</v>
      </c>
      <c r="H368" s="5" t="n">
        <f aca="false">F368*G368</f>
        <v>72</v>
      </c>
    </row>
    <row r="369" customFormat="false" ht="15" hidden="false" customHeight="false" outlineLevel="0" collapsed="false">
      <c r="A369" s="11" t="n">
        <v>45809</v>
      </c>
      <c r="B369" s="2" t="s">
        <v>142</v>
      </c>
      <c r="C369" s="2" t="s">
        <v>91</v>
      </c>
      <c r="D369" s="2" t="str">
        <f aca="false">INDEX(Léky!$B$2:$B$11,MATCH(C369,Léky!$A$2:$A$11,0))</f>
        <v>Ibuprofen 400 mg</v>
      </c>
      <c r="E369" s="2" t="str">
        <f aca="false">INDEX(Léky!$E$2:$E$11,MATCH(C369,Léky!$A$2:$A$11,0))</f>
        <v>Bolest</v>
      </c>
      <c r="F369" s="2" t="n">
        <v>1</v>
      </c>
      <c r="G369" s="5" t="n">
        <f aca="false">INDEX(Léky!$H$2:$H$11,MATCH(C369,Léky!$A$2:$A$11,0))</f>
        <v>65</v>
      </c>
      <c r="H369" s="5" t="n">
        <f aca="false">F369*G369</f>
        <v>65</v>
      </c>
    </row>
    <row r="370" customFormat="false" ht="15" hidden="false" customHeight="false" outlineLevel="0" collapsed="false">
      <c r="A370" s="11" t="n">
        <v>45809</v>
      </c>
      <c r="B370" s="2" t="s">
        <v>144</v>
      </c>
      <c r="C370" s="2" t="s">
        <v>63</v>
      </c>
      <c r="D370" s="2" t="str">
        <f aca="false">INDEX(Léky!$B$2:$B$11,MATCH(C370,Léky!$A$2:$A$11,0))</f>
        <v>Omeprazol 20 mg</v>
      </c>
      <c r="E370" s="2" t="str">
        <f aca="false">INDEX(Léky!$E$2:$E$11,MATCH(C370,Léky!$A$2:$A$11,0))</f>
        <v>Trávení</v>
      </c>
      <c r="F370" s="2" t="n">
        <v>1</v>
      </c>
      <c r="G370" s="5" t="n">
        <f aca="false">INDEX(Léky!$H$2:$H$11,MATCH(C370,Léky!$A$2:$A$11,0))</f>
        <v>135</v>
      </c>
      <c r="H370" s="5" t="n">
        <f aca="false">F370*G370</f>
        <v>135</v>
      </c>
    </row>
    <row r="371" customFormat="false" ht="15" hidden="false" customHeight="false" outlineLevel="0" collapsed="false">
      <c r="A371" s="11" t="n">
        <v>45809</v>
      </c>
      <c r="B371" s="2" t="s">
        <v>147</v>
      </c>
      <c r="C371" s="2" t="s">
        <v>34</v>
      </c>
      <c r="D371" s="2" t="str">
        <f aca="false">INDEX(Léky!$B$2:$B$11,MATCH(C371,Léky!$A$2:$A$11,0))</f>
        <v>Metformin 500 mg</v>
      </c>
      <c r="E371" s="2" t="str">
        <f aca="false">INDEX(Léky!$E$2:$E$11,MATCH(C371,Léky!$A$2:$A$11,0))</f>
        <v>Diabetes</v>
      </c>
      <c r="F371" s="2" t="n">
        <v>1</v>
      </c>
      <c r="G371" s="5" t="n">
        <f aca="false">INDEX(Léky!$H$2:$H$11,MATCH(C371,Léky!$A$2:$A$11,0))</f>
        <v>89</v>
      </c>
      <c r="H371" s="5" t="n">
        <f aca="false">F371*G371</f>
        <v>89</v>
      </c>
    </row>
    <row r="372" customFormat="false" ht="15" hidden="false" customHeight="false" outlineLevel="0" collapsed="false">
      <c r="A372" s="11" t="n">
        <v>45809</v>
      </c>
      <c r="B372" s="2" t="s">
        <v>150</v>
      </c>
      <c r="C372" s="2" t="s">
        <v>53</v>
      </c>
      <c r="D372" s="2" t="str">
        <f aca="false">INDEX(Léky!$B$2:$B$11,MATCH(C372,Léky!$A$2:$A$11,0))</f>
        <v>Ramipril 5 mg</v>
      </c>
      <c r="E372" s="2" t="str">
        <f aca="false">INDEX(Léky!$E$2:$E$11,MATCH(C372,Léky!$A$2:$A$11,0))</f>
        <v>Krevní tlak</v>
      </c>
      <c r="F372" s="2" t="n">
        <v>1</v>
      </c>
      <c r="G372" s="5" t="n">
        <f aca="false">INDEX(Léky!$H$2:$H$11,MATCH(C372,Léky!$A$2:$A$11,0))</f>
        <v>98</v>
      </c>
      <c r="H372" s="5" t="n">
        <f aca="false">F372*G372</f>
        <v>98</v>
      </c>
    </row>
    <row r="373" customFormat="false" ht="15" hidden="false" customHeight="false" outlineLevel="0" collapsed="false">
      <c r="A373" s="11" t="n">
        <v>45809</v>
      </c>
      <c r="B373" s="2" t="s">
        <v>150</v>
      </c>
      <c r="C373" s="2" t="s">
        <v>57</v>
      </c>
      <c r="D373" s="2" t="str">
        <f aca="false">INDEX(Léky!$B$2:$B$11,MATCH(C373,Léky!$A$2:$A$11,0))</f>
        <v>Levothyroxin 50 µg</v>
      </c>
      <c r="E373" s="2" t="str">
        <f aca="false">INDEX(Léky!$E$2:$E$11,MATCH(C373,Léky!$A$2:$A$11,0))</f>
        <v>Štítná žláza</v>
      </c>
      <c r="F373" s="2" t="n">
        <v>1</v>
      </c>
      <c r="G373" s="5" t="n">
        <f aca="false">INDEX(Léky!$H$2:$H$11,MATCH(C373,Léky!$A$2:$A$11,0))</f>
        <v>118</v>
      </c>
      <c r="H373" s="5" t="n">
        <f aca="false">F373*G373</f>
        <v>118</v>
      </c>
    </row>
    <row r="374" customFormat="false" ht="15" hidden="false" customHeight="false" outlineLevel="0" collapsed="false">
      <c r="A374" s="11" t="n">
        <v>45809</v>
      </c>
      <c r="B374" s="2" t="s">
        <v>151</v>
      </c>
      <c r="C374" s="2" t="s">
        <v>63</v>
      </c>
      <c r="D374" s="2" t="str">
        <f aca="false">INDEX(Léky!$B$2:$B$11,MATCH(C374,Léky!$A$2:$A$11,0))</f>
        <v>Omeprazol 20 mg</v>
      </c>
      <c r="E374" s="2" t="str">
        <f aca="false">INDEX(Léky!$E$2:$E$11,MATCH(C374,Léky!$A$2:$A$11,0))</f>
        <v>Trávení</v>
      </c>
      <c r="F374" s="2" t="n">
        <v>1</v>
      </c>
      <c r="G374" s="5" t="n">
        <f aca="false">INDEX(Léky!$H$2:$H$11,MATCH(C374,Léky!$A$2:$A$11,0))</f>
        <v>135</v>
      </c>
      <c r="H374" s="5" t="n">
        <f aca="false">F374*G374</f>
        <v>135</v>
      </c>
    </row>
    <row r="375" customFormat="false" ht="15" hidden="false" customHeight="false" outlineLevel="0" collapsed="false">
      <c r="A375" s="11" t="n">
        <v>45809</v>
      </c>
      <c r="B375" s="2" t="s">
        <v>152</v>
      </c>
      <c r="C375" s="2" t="s">
        <v>53</v>
      </c>
      <c r="D375" s="2" t="str">
        <f aca="false">INDEX(Léky!$B$2:$B$11,MATCH(C375,Léky!$A$2:$A$11,0))</f>
        <v>Ramipril 5 mg</v>
      </c>
      <c r="E375" s="2" t="str">
        <f aca="false">INDEX(Léky!$E$2:$E$11,MATCH(C375,Léky!$A$2:$A$11,0))</f>
        <v>Krevní tlak</v>
      </c>
      <c r="F375" s="2" t="n">
        <v>1</v>
      </c>
      <c r="G375" s="5" t="n">
        <f aca="false">INDEX(Léky!$H$2:$H$11,MATCH(C375,Léky!$A$2:$A$11,0))</f>
        <v>98</v>
      </c>
      <c r="H375" s="5" t="n">
        <f aca="false">F375*G375</f>
        <v>98</v>
      </c>
    </row>
    <row r="376" customFormat="false" ht="15" hidden="false" customHeight="false" outlineLevel="0" collapsed="false">
      <c r="A376" s="11" t="n">
        <v>45809</v>
      </c>
      <c r="B376" s="2" t="s">
        <v>154</v>
      </c>
      <c r="C376" s="2" t="s">
        <v>48</v>
      </c>
      <c r="D376" s="2" t="str">
        <f aca="false">INDEX(Léky!$B$2:$B$11,MATCH(C376,Léky!$A$2:$A$11,0))</f>
        <v>Amlodipin 5 mg</v>
      </c>
      <c r="E376" s="2" t="str">
        <f aca="false">INDEX(Léky!$E$2:$E$11,MATCH(C376,Léky!$A$2:$A$11,0))</f>
        <v>Krevní tlak</v>
      </c>
      <c r="F376" s="2" t="n">
        <v>1</v>
      </c>
      <c r="G376" s="5" t="n">
        <f aca="false">INDEX(Léky!$H$2:$H$11,MATCH(C376,Léky!$A$2:$A$11,0))</f>
        <v>72</v>
      </c>
      <c r="H376" s="5" t="n">
        <f aca="false">F376*G376</f>
        <v>72</v>
      </c>
    </row>
    <row r="377" customFormat="false" ht="15" hidden="false" customHeight="false" outlineLevel="0" collapsed="false">
      <c r="A377" s="11" t="n">
        <v>45809</v>
      </c>
      <c r="B377" s="2" t="s">
        <v>155</v>
      </c>
      <c r="C377" s="2" t="s">
        <v>42</v>
      </c>
      <c r="D377" s="2" t="str">
        <f aca="false">INDEX(Léky!$B$2:$B$11,MATCH(C377,Léky!$A$2:$A$11,0))</f>
        <v>Atorvastatin 20 mg</v>
      </c>
      <c r="E377" s="2" t="str">
        <f aca="false">INDEX(Léky!$E$2:$E$11,MATCH(C377,Léky!$A$2:$A$11,0))</f>
        <v>Cholesterol</v>
      </c>
      <c r="F377" s="2" t="n">
        <v>1</v>
      </c>
      <c r="G377" s="5" t="n">
        <f aca="false">INDEX(Léky!$H$2:$H$11,MATCH(C377,Léky!$A$2:$A$11,0))</f>
        <v>145</v>
      </c>
      <c r="H377" s="5" t="n">
        <f aca="false">F377*G377</f>
        <v>145</v>
      </c>
    </row>
    <row r="378" customFormat="false" ht="15" hidden="false" customHeight="false" outlineLevel="0" collapsed="false">
      <c r="A378" s="11" t="n">
        <v>45809</v>
      </c>
      <c r="B378" s="2" t="s">
        <v>156</v>
      </c>
      <c r="C378" s="2" t="s">
        <v>42</v>
      </c>
      <c r="D378" s="2" t="str">
        <f aca="false">INDEX(Léky!$B$2:$B$11,MATCH(C378,Léky!$A$2:$A$11,0))</f>
        <v>Atorvastatin 20 mg</v>
      </c>
      <c r="E378" s="2" t="str">
        <f aca="false">INDEX(Léky!$E$2:$E$11,MATCH(C378,Léky!$A$2:$A$11,0))</f>
        <v>Cholesterol</v>
      </c>
      <c r="F378" s="2" t="n">
        <v>1</v>
      </c>
      <c r="G378" s="5" t="n">
        <f aca="false">INDEX(Léky!$H$2:$H$11,MATCH(C378,Léky!$A$2:$A$11,0))</f>
        <v>145</v>
      </c>
      <c r="H378" s="5" t="n">
        <f aca="false">F378*G378</f>
        <v>145</v>
      </c>
    </row>
    <row r="379" customFormat="false" ht="15" hidden="false" customHeight="false" outlineLevel="0" collapsed="false">
      <c r="A379" s="11" t="n">
        <v>45809</v>
      </c>
      <c r="B379" s="2" t="s">
        <v>156</v>
      </c>
      <c r="C379" s="2" t="s">
        <v>53</v>
      </c>
      <c r="D379" s="2" t="str">
        <f aca="false">INDEX(Léky!$B$2:$B$11,MATCH(C379,Léky!$A$2:$A$11,0))</f>
        <v>Ramipril 5 mg</v>
      </c>
      <c r="E379" s="2" t="str">
        <f aca="false">INDEX(Léky!$E$2:$E$11,MATCH(C379,Léky!$A$2:$A$11,0))</f>
        <v>Krevní tlak</v>
      </c>
      <c r="F379" s="2" t="n">
        <v>1</v>
      </c>
      <c r="G379" s="5" t="n">
        <f aca="false">INDEX(Léky!$H$2:$H$11,MATCH(C379,Léky!$A$2:$A$11,0))</f>
        <v>98</v>
      </c>
      <c r="H379" s="5" t="n">
        <f aca="false">F379*G379</f>
        <v>98</v>
      </c>
    </row>
    <row r="380" customFormat="false" ht="15" hidden="false" customHeight="false" outlineLevel="0" collapsed="false">
      <c r="A380" s="11" t="n">
        <v>45809</v>
      </c>
      <c r="B380" s="2" t="s">
        <v>157</v>
      </c>
      <c r="C380" s="2" t="s">
        <v>42</v>
      </c>
      <c r="D380" s="2" t="str">
        <f aca="false">INDEX(Léky!$B$2:$B$11,MATCH(C380,Léky!$A$2:$A$11,0))</f>
        <v>Atorvastatin 20 mg</v>
      </c>
      <c r="E380" s="2" t="str">
        <f aca="false">INDEX(Léky!$E$2:$E$11,MATCH(C380,Léky!$A$2:$A$11,0))</f>
        <v>Cholesterol</v>
      </c>
      <c r="F380" s="2" t="n">
        <v>1</v>
      </c>
      <c r="G380" s="5" t="n">
        <f aca="false">INDEX(Léky!$H$2:$H$11,MATCH(C380,Léky!$A$2:$A$11,0))</f>
        <v>145</v>
      </c>
      <c r="H380" s="5" t="n">
        <f aca="false">F380*G380</f>
        <v>145</v>
      </c>
    </row>
    <row r="381" customFormat="false" ht="15" hidden="false" customHeight="false" outlineLevel="0" collapsed="false">
      <c r="A381" s="11" t="n">
        <v>45809</v>
      </c>
      <c r="B381" s="2" t="s">
        <v>157</v>
      </c>
      <c r="C381" s="2" t="s">
        <v>57</v>
      </c>
      <c r="D381" s="2" t="str">
        <f aca="false">INDEX(Léky!$B$2:$B$11,MATCH(C381,Léky!$A$2:$A$11,0))</f>
        <v>Levothyroxin 50 µg</v>
      </c>
      <c r="E381" s="2" t="str">
        <f aca="false">INDEX(Léky!$E$2:$E$11,MATCH(C381,Léky!$A$2:$A$11,0))</f>
        <v>Štítná žláza</v>
      </c>
      <c r="F381" s="2" t="n">
        <v>1</v>
      </c>
      <c r="G381" s="5" t="n">
        <f aca="false">INDEX(Léky!$H$2:$H$11,MATCH(C381,Léky!$A$2:$A$11,0))</f>
        <v>118</v>
      </c>
      <c r="H381" s="5" t="n">
        <f aca="false">F381*G381</f>
        <v>118</v>
      </c>
    </row>
    <row r="382" customFormat="false" ht="15" hidden="false" customHeight="false" outlineLevel="0" collapsed="false">
      <c r="A382" s="11" t="n">
        <v>45809</v>
      </c>
      <c r="B382" s="2" t="s">
        <v>159</v>
      </c>
      <c r="C382" s="2" t="s">
        <v>57</v>
      </c>
      <c r="D382" s="2" t="str">
        <f aca="false">INDEX(Léky!$B$2:$B$11,MATCH(C382,Léky!$A$2:$A$11,0))</f>
        <v>Levothyroxin 50 µg</v>
      </c>
      <c r="E382" s="2" t="str">
        <f aca="false">INDEX(Léky!$E$2:$E$11,MATCH(C382,Léky!$A$2:$A$11,0))</f>
        <v>Štítná žláza</v>
      </c>
      <c r="F382" s="2" t="n">
        <v>1</v>
      </c>
      <c r="G382" s="5" t="n">
        <f aca="false">INDEX(Léky!$H$2:$H$11,MATCH(C382,Léky!$A$2:$A$11,0))</f>
        <v>118</v>
      </c>
      <c r="H382" s="5" t="n">
        <f aca="false">F382*G382</f>
        <v>118</v>
      </c>
    </row>
    <row r="383" customFormat="false" ht="15" hidden="false" customHeight="false" outlineLevel="0" collapsed="false">
      <c r="A383" s="11" t="n">
        <v>45809</v>
      </c>
      <c r="B383" s="2" t="s">
        <v>160</v>
      </c>
      <c r="C383" s="2" t="s">
        <v>48</v>
      </c>
      <c r="D383" s="2" t="str">
        <f aca="false">INDEX(Léky!$B$2:$B$11,MATCH(C383,Léky!$A$2:$A$11,0))</f>
        <v>Amlodipin 5 mg</v>
      </c>
      <c r="E383" s="2" t="str">
        <f aca="false">INDEX(Léky!$E$2:$E$11,MATCH(C383,Léky!$A$2:$A$11,0))</f>
        <v>Krevní tlak</v>
      </c>
      <c r="F383" s="2" t="n">
        <v>1</v>
      </c>
      <c r="G383" s="5" t="n">
        <f aca="false">INDEX(Léky!$H$2:$H$11,MATCH(C383,Léky!$A$2:$A$11,0))</f>
        <v>72</v>
      </c>
      <c r="H383" s="5" t="n">
        <f aca="false">F383*G383</f>
        <v>72</v>
      </c>
    </row>
    <row r="384" customFormat="false" ht="15" hidden="false" customHeight="false" outlineLevel="0" collapsed="false">
      <c r="A384" s="11" t="n">
        <v>45809</v>
      </c>
      <c r="B384" s="2" t="s">
        <v>160</v>
      </c>
      <c r="C384" s="2" t="s">
        <v>57</v>
      </c>
      <c r="D384" s="2" t="str">
        <f aca="false">INDEX(Léky!$B$2:$B$11,MATCH(C384,Léky!$A$2:$A$11,0))</f>
        <v>Levothyroxin 50 µg</v>
      </c>
      <c r="E384" s="2" t="str">
        <f aca="false">INDEX(Léky!$E$2:$E$11,MATCH(C384,Léky!$A$2:$A$11,0))</f>
        <v>Štítná žláza</v>
      </c>
      <c r="F384" s="2" t="n">
        <v>1</v>
      </c>
      <c r="G384" s="5" t="n">
        <f aca="false">INDEX(Léky!$H$2:$H$11,MATCH(C384,Léky!$A$2:$A$11,0))</f>
        <v>118</v>
      </c>
      <c r="H384" s="5" t="n">
        <f aca="false">F384*G384</f>
        <v>118</v>
      </c>
    </row>
    <row r="385" customFormat="false" ht="15" hidden="false" customHeight="false" outlineLevel="0" collapsed="false">
      <c r="A385" s="11" t="n">
        <v>45809</v>
      </c>
      <c r="B385" s="2" t="s">
        <v>161</v>
      </c>
      <c r="C385" s="2" t="s">
        <v>34</v>
      </c>
      <c r="D385" s="2" t="str">
        <f aca="false">INDEX(Léky!$B$2:$B$11,MATCH(C385,Léky!$A$2:$A$11,0))</f>
        <v>Metformin 500 mg</v>
      </c>
      <c r="E385" s="2" t="str">
        <f aca="false">INDEX(Léky!$E$2:$E$11,MATCH(C385,Léky!$A$2:$A$11,0))</f>
        <v>Diabetes</v>
      </c>
      <c r="F385" s="2" t="n">
        <v>2</v>
      </c>
      <c r="G385" s="5" t="n">
        <f aca="false">INDEX(Léky!$H$2:$H$11,MATCH(C385,Léky!$A$2:$A$11,0))</f>
        <v>89</v>
      </c>
      <c r="H385" s="5" t="n">
        <f aca="false">F385*G385</f>
        <v>178</v>
      </c>
    </row>
    <row r="386" customFormat="false" ht="15" hidden="false" customHeight="false" outlineLevel="0" collapsed="false">
      <c r="A386" s="11" t="n">
        <v>45809</v>
      </c>
      <c r="B386" s="2" t="s">
        <v>161</v>
      </c>
      <c r="C386" s="2" t="s">
        <v>53</v>
      </c>
      <c r="D386" s="2" t="str">
        <f aca="false">INDEX(Léky!$B$2:$B$11,MATCH(C386,Léky!$A$2:$A$11,0))</f>
        <v>Ramipril 5 mg</v>
      </c>
      <c r="E386" s="2" t="str">
        <f aca="false">INDEX(Léky!$E$2:$E$11,MATCH(C386,Léky!$A$2:$A$11,0))</f>
        <v>Krevní tlak</v>
      </c>
      <c r="F386" s="2" t="n">
        <v>1</v>
      </c>
      <c r="G386" s="5" t="n">
        <f aca="false">INDEX(Léky!$H$2:$H$11,MATCH(C386,Léky!$A$2:$A$11,0))</f>
        <v>98</v>
      </c>
      <c r="H386" s="5" t="n">
        <f aca="false">F386*G386</f>
        <v>98</v>
      </c>
    </row>
    <row r="387" customFormat="false" ht="15" hidden="false" customHeight="false" outlineLevel="0" collapsed="false">
      <c r="A387" s="11" t="n">
        <v>45809</v>
      </c>
      <c r="B387" s="2" t="s">
        <v>161</v>
      </c>
      <c r="C387" s="2" t="s">
        <v>57</v>
      </c>
      <c r="D387" s="2" t="str">
        <f aca="false">INDEX(Léky!$B$2:$B$11,MATCH(C387,Léky!$A$2:$A$11,0))</f>
        <v>Levothyroxin 50 µg</v>
      </c>
      <c r="E387" s="2" t="str">
        <f aca="false">INDEX(Léky!$E$2:$E$11,MATCH(C387,Léky!$A$2:$A$11,0))</f>
        <v>Štítná žláza</v>
      </c>
      <c r="F387" s="2" t="n">
        <v>1</v>
      </c>
      <c r="G387" s="5" t="n">
        <f aca="false">INDEX(Léky!$H$2:$H$11,MATCH(C387,Léky!$A$2:$A$11,0))</f>
        <v>118</v>
      </c>
      <c r="H387" s="5" t="n">
        <f aca="false">F387*G387</f>
        <v>118</v>
      </c>
    </row>
    <row r="388" customFormat="false" ht="15" hidden="false" customHeight="false" outlineLevel="0" collapsed="false">
      <c r="A388" s="11" t="n">
        <v>45809</v>
      </c>
      <c r="B388" s="2" t="s">
        <v>162</v>
      </c>
      <c r="C388" s="2" t="s">
        <v>42</v>
      </c>
      <c r="D388" s="2" t="str">
        <f aca="false">INDEX(Léky!$B$2:$B$11,MATCH(C388,Léky!$A$2:$A$11,0))</f>
        <v>Atorvastatin 20 mg</v>
      </c>
      <c r="E388" s="2" t="str">
        <f aca="false">INDEX(Léky!$E$2:$E$11,MATCH(C388,Léky!$A$2:$A$11,0))</f>
        <v>Cholesterol</v>
      </c>
      <c r="F388" s="2" t="n">
        <v>1</v>
      </c>
      <c r="G388" s="5" t="n">
        <f aca="false">INDEX(Léky!$H$2:$H$11,MATCH(C388,Léky!$A$2:$A$11,0))</f>
        <v>145</v>
      </c>
      <c r="H388" s="5" t="n">
        <f aca="false">F388*G388</f>
        <v>145</v>
      </c>
    </row>
    <row r="389" customFormat="false" ht="15" hidden="false" customHeight="false" outlineLevel="0" collapsed="false">
      <c r="A389" s="11" t="n">
        <v>45809</v>
      </c>
      <c r="B389" s="2" t="s">
        <v>163</v>
      </c>
      <c r="C389" s="2" t="s">
        <v>63</v>
      </c>
      <c r="D389" s="2" t="str">
        <f aca="false">INDEX(Léky!$B$2:$B$11,MATCH(C389,Léky!$A$2:$A$11,0))</f>
        <v>Omeprazol 20 mg</v>
      </c>
      <c r="E389" s="2" t="str">
        <f aca="false">INDEX(Léky!$E$2:$E$11,MATCH(C389,Léky!$A$2:$A$11,0))</f>
        <v>Trávení</v>
      </c>
      <c r="F389" s="2" t="n">
        <v>1</v>
      </c>
      <c r="G389" s="5" t="n">
        <f aca="false">INDEX(Léky!$H$2:$H$11,MATCH(C389,Léky!$A$2:$A$11,0))</f>
        <v>135</v>
      </c>
      <c r="H389" s="5" t="n">
        <f aca="false">F389*G389</f>
        <v>135</v>
      </c>
    </row>
    <row r="390" customFormat="false" ht="15" hidden="false" customHeight="false" outlineLevel="0" collapsed="false">
      <c r="A390" s="11" t="n">
        <v>45809</v>
      </c>
      <c r="B390" s="2" t="s">
        <v>166</v>
      </c>
      <c r="C390" s="2" t="s">
        <v>57</v>
      </c>
      <c r="D390" s="2" t="str">
        <f aca="false">INDEX(Léky!$B$2:$B$11,MATCH(C390,Léky!$A$2:$A$11,0))</f>
        <v>Levothyroxin 50 µg</v>
      </c>
      <c r="E390" s="2" t="str">
        <f aca="false">INDEX(Léky!$E$2:$E$11,MATCH(C390,Léky!$A$2:$A$11,0))</f>
        <v>Štítná žláza</v>
      </c>
      <c r="F390" s="2" t="n">
        <v>1</v>
      </c>
      <c r="G390" s="5" t="n">
        <f aca="false">INDEX(Léky!$H$2:$H$11,MATCH(C390,Léky!$A$2:$A$11,0))</f>
        <v>118</v>
      </c>
      <c r="H390" s="5" t="n">
        <f aca="false">F390*G390</f>
        <v>118</v>
      </c>
    </row>
    <row r="391" customFormat="false" ht="15" hidden="false" customHeight="false" outlineLevel="0" collapsed="false">
      <c r="A391" s="11" t="n">
        <v>45809</v>
      </c>
      <c r="B391" s="2" t="s">
        <v>167</v>
      </c>
      <c r="C391" s="2" t="s">
        <v>53</v>
      </c>
      <c r="D391" s="2" t="str">
        <f aca="false">INDEX(Léky!$B$2:$B$11,MATCH(C391,Léky!$A$2:$A$11,0))</f>
        <v>Ramipril 5 mg</v>
      </c>
      <c r="E391" s="2" t="str">
        <f aca="false">INDEX(Léky!$E$2:$E$11,MATCH(C391,Léky!$A$2:$A$11,0))</f>
        <v>Krevní tlak</v>
      </c>
      <c r="F391" s="2" t="n">
        <v>1</v>
      </c>
      <c r="G391" s="5" t="n">
        <f aca="false">INDEX(Léky!$H$2:$H$11,MATCH(C391,Léky!$A$2:$A$11,0))</f>
        <v>98</v>
      </c>
      <c r="H391" s="5" t="n">
        <f aca="false">F391*G391</f>
        <v>98</v>
      </c>
    </row>
    <row r="392" customFormat="false" ht="15" hidden="false" customHeight="false" outlineLevel="0" collapsed="false">
      <c r="A392" s="11" t="n">
        <v>45809</v>
      </c>
      <c r="B392" s="2" t="s">
        <v>168</v>
      </c>
      <c r="C392" s="2" t="s">
        <v>34</v>
      </c>
      <c r="D392" s="2" t="str">
        <f aca="false">INDEX(Léky!$B$2:$B$11,MATCH(C392,Léky!$A$2:$A$11,0))</f>
        <v>Metformin 500 mg</v>
      </c>
      <c r="E392" s="2" t="str">
        <f aca="false">INDEX(Léky!$E$2:$E$11,MATCH(C392,Léky!$A$2:$A$11,0))</f>
        <v>Diabetes</v>
      </c>
      <c r="F392" s="2" t="n">
        <v>1</v>
      </c>
      <c r="G392" s="5" t="n">
        <f aca="false">INDEX(Léky!$H$2:$H$11,MATCH(C392,Léky!$A$2:$A$11,0))</f>
        <v>89</v>
      </c>
      <c r="H392" s="5" t="n">
        <f aca="false">F392*G392</f>
        <v>89</v>
      </c>
    </row>
    <row r="393" customFormat="false" ht="15" hidden="false" customHeight="false" outlineLevel="0" collapsed="false">
      <c r="A393" s="11" t="n">
        <v>45809</v>
      </c>
      <c r="B393" s="2" t="s">
        <v>169</v>
      </c>
      <c r="C393" s="2" t="s">
        <v>63</v>
      </c>
      <c r="D393" s="2" t="str">
        <f aca="false">INDEX(Léky!$B$2:$B$11,MATCH(C393,Léky!$A$2:$A$11,0))</f>
        <v>Omeprazol 20 mg</v>
      </c>
      <c r="E393" s="2" t="str">
        <f aca="false">INDEX(Léky!$E$2:$E$11,MATCH(C393,Léky!$A$2:$A$11,0))</f>
        <v>Trávení</v>
      </c>
      <c r="F393" s="2" t="n">
        <v>1</v>
      </c>
      <c r="G393" s="5" t="n">
        <f aca="false">INDEX(Léky!$H$2:$H$11,MATCH(C393,Léky!$A$2:$A$11,0))</f>
        <v>135</v>
      </c>
      <c r="H393" s="5" t="n">
        <f aca="false">F393*G393</f>
        <v>135</v>
      </c>
    </row>
    <row r="394" customFormat="false" ht="15" hidden="false" customHeight="false" outlineLevel="0" collapsed="false">
      <c r="A394" s="11" t="n">
        <v>45809</v>
      </c>
      <c r="B394" s="2" t="s">
        <v>170</v>
      </c>
      <c r="C394" s="2" t="s">
        <v>63</v>
      </c>
      <c r="D394" s="2" t="str">
        <f aca="false">INDEX(Léky!$B$2:$B$11,MATCH(C394,Léky!$A$2:$A$11,0))</f>
        <v>Omeprazol 20 mg</v>
      </c>
      <c r="E394" s="2" t="str">
        <f aca="false">INDEX(Léky!$E$2:$E$11,MATCH(C394,Léky!$A$2:$A$11,0))</f>
        <v>Trávení</v>
      </c>
      <c r="F394" s="2" t="n">
        <v>1</v>
      </c>
      <c r="G394" s="5" t="n">
        <f aca="false">INDEX(Léky!$H$2:$H$11,MATCH(C394,Léky!$A$2:$A$11,0))</f>
        <v>135</v>
      </c>
      <c r="H394" s="5" t="n">
        <f aca="false">F394*G394</f>
        <v>135</v>
      </c>
    </row>
    <row r="395" customFormat="false" ht="15" hidden="false" customHeight="false" outlineLevel="0" collapsed="false">
      <c r="A395" s="11" t="n">
        <v>45809</v>
      </c>
      <c r="B395" s="2" t="s">
        <v>171</v>
      </c>
      <c r="C395" s="2" t="s">
        <v>34</v>
      </c>
      <c r="D395" s="2" t="str">
        <f aca="false">INDEX(Léky!$B$2:$B$11,MATCH(C395,Léky!$A$2:$A$11,0))</f>
        <v>Metformin 500 mg</v>
      </c>
      <c r="E395" s="2" t="str">
        <f aca="false">INDEX(Léky!$E$2:$E$11,MATCH(C395,Léky!$A$2:$A$11,0))</f>
        <v>Diabetes</v>
      </c>
      <c r="F395" s="2" t="n">
        <v>1</v>
      </c>
      <c r="G395" s="5" t="n">
        <f aca="false">INDEX(Léky!$H$2:$H$11,MATCH(C395,Léky!$A$2:$A$11,0))</f>
        <v>89</v>
      </c>
      <c r="H395" s="5" t="n">
        <f aca="false">F395*G395</f>
        <v>89</v>
      </c>
    </row>
    <row r="396" customFormat="false" ht="15" hidden="false" customHeight="false" outlineLevel="0" collapsed="false">
      <c r="A396" s="11" t="n">
        <v>45809</v>
      </c>
      <c r="B396" s="2" t="s">
        <v>171</v>
      </c>
      <c r="C396" s="2" t="s">
        <v>48</v>
      </c>
      <c r="D396" s="2" t="str">
        <f aca="false">INDEX(Léky!$B$2:$B$11,MATCH(C396,Léky!$A$2:$A$11,0))</f>
        <v>Amlodipin 5 mg</v>
      </c>
      <c r="E396" s="2" t="str">
        <f aca="false">INDEX(Léky!$E$2:$E$11,MATCH(C396,Léky!$A$2:$A$11,0))</f>
        <v>Krevní tlak</v>
      </c>
      <c r="F396" s="2" t="n">
        <v>1</v>
      </c>
      <c r="G396" s="5" t="n">
        <f aca="false">INDEX(Léky!$H$2:$H$11,MATCH(C396,Léky!$A$2:$A$11,0))</f>
        <v>72</v>
      </c>
      <c r="H396" s="5" t="n">
        <f aca="false">F396*G396</f>
        <v>72</v>
      </c>
    </row>
    <row r="397" customFormat="false" ht="15" hidden="false" customHeight="false" outlineLevel="0" collapsed="false">
      <c r="A397" s="11" t="n">
        <v>45809</v>
      </c>
      <c r="B397" s="2" t="s">
        <v>171</v>
      </c>
      <c r="C397" s="2" t="s">
        <v>57</v>
      </c>
      <c r="D397" s="2" t="str">
        <f aca="false">INDEX(Léky!$B$2:$B$11,MATCH(C397,Léky!$A$2:$A$11,0))</f>
        <v>Levothyroxin 50 µg</v>
      </c>
      <c r="E397" s="2" t="str">
        <f aca="false">INDEX(Léky!$E$2:$E$11,MATCH(C397,Léky!$A$2:$A$11,0))</f>
        <v>Štítná žláza</v>
      </c>
      <c r="F397" s="2" t="n">
        <v>1</v>
      </c>
      <c r="G397" s="5" t="n">
        <f aca="false">INDEX(Léky!$H$2:$H$11,MATCH(C397,Léky!$A$2:$A$11,0))</f>
        <v>118</v>
      </c>
      <c r="H397" s="5" t="n">
        <f aca="false">F397*G397</f>
        <v>118</v>
      </c>
    </row>
    <row r="398" customFormat="false" ht="15" hidden="false" customHeight="false" outlineLevel="0" collapsed="false">
      <c r="A398" s="11" t="n">
        <v>45809</v>
      </c>
      <c r="B398" s="2" t="s">
        <v>171</v>
      </c>
      <c r="C398" s="2" t="s">
        <v>91</v>
      </c>
      <c r="D398" s="2" t="str">
        <f aca="false">INDEX(Léky!$B$2:$B$11,MATCH(C398,Léky!$A$2:$A$11,0))</f>
        <v>Ibuprofen 400 mg</v>
      </c>
      <c r="E398" s="2" t="str">
        <f aca="false">INDEX(Léky!$E$2:$E$11,MATCH(C398,Léky!$A$2:$A$11,0))</f>
        <v>Bolest</v>
      </c>
      <c r="F398" s="2" t="n">
        <v>2</v>
      </c>
      <c r="G398" s="5" t="n">
        <f aca="false">INDEX(Léky!$H$2:$H$11,MATCH(C398,Léky!$A$2:$A$11,0))</f>
        <v>65</v>
      </c>
      <c r="H398" s="5" t="n">
        <f aca="false">F398*G398</f>
        <v>130</v>
      </c>
    </row>
    <row r="399" customFormat="false" ht="15" hidden="false" customHeight="false" outlineLevel="0" collapsed="false">
      <c r="A399" s="11" t="n">
        <v>45809</v>
      </c>
      <c r="B399" s="2" t="s">
        <v>173</v>
      </c>
      <c r="C399" s="2" t="s">
        <v>53</v>
      </c>
      <c r="D399" s="2" t="str">
        <f aca="false">INDEX(Léky!$B$2:$B$11,MATCH(C399,Léky!$A$2:$A$11,0))</f>
        <v>Ramipril 5 mg</v>
      </c>
      <c r="E399" s="2" t="str">
        <f aca="false">INDEX(Léky!$E$2:$E$11,MATCH(C399,Léky!$A$2:$A$11,0))</f>
        <v>Krevní tlak</v>
      </c>
      <c r="F399" s="2" t="n">
        <v>1</v>
      </c>
      <c r="G399" s="5" t="n">
        <f aca="false">INDEX(Léky!$H$2:$H$11,MATCH(C399,Léky!$A$2:$A$11,0))</f>
        <v>98</v>
      </c>
      <c r="H399" s="5" t="n">
        <f aca="false">F399*G399</f>
        <v>98</v>
      </c>
    </row>
    <row r="400" customFormat="false" ht="15" hidden="false" customHeight="false" outlineLevel="0" collapsed="false">
      <c r="A400" s="11" t="n">
        <v>45809</v>
      </c>
      <c r="B400" s="2" t="s">
        <v>174</v>
      </c>
      <c r="C400" s="2" t="s">
        <v>48</v>
      </c>
      <c r="D400" s="2" t="str">
        <f aca="false">INDEX(Léky!$B$2:$B$11,MATCH(C400,Léky!$A$2:$A$11,0))</f>
        <v>Amlodipin 5 mg</v>
      </c>
      <c r="E400" s="2" t="str">
        <f aca="false">INDEX(Léky!$E$2:$E$11,MATCH(C400,Léky!$A$2:$A$11,0))</f>
        <v>Krevní tlak</v>
      </c>
      <c r="F400" s="2" t="n">
        <v>1</v>
      </c>
      <c r="G400" s="5" t="n">
        <f aca="false">INDEX(Léky!$H$2:$H$11,MATCH(C400,Léky!$A$2:$A$11,0))</f>
        <v>72</v>
      </c>
      <c r="H400" s="5" t="n">
        <f aca="false">F400*G400</f>
        <v>72</v>
      </c>
    </row>
    <row r="401" customFormat="false" ht="15" hidden="false" customHeight="false" outlineLevel="0" collapsed="false">
      <c r="A401" s="11" t="n">
        <v>45809</v>
      </c>
      <c r="B401" s="2" t="s">
        <v>174</v>
      </c>
      <c r="C401" s="2" t="s">
        <v>53</v>
      </c>
      <c r="D401" s="2" t="str">
        <f aca="false">INDEX(Léky!$B$2:$B$11,MATCH(C401,Léky!$A$2:$A$11,0))</f>
        <v>Ramipril 5 mg</v>
      </c>
      <c r="E401" s="2" t="str">
        <f aca="false">INDEX(Léky!$E$2:$E$11,MATCH(C401,Léky!$A$2:$A$11,0))</f>
        <v>Krevní tlak</v>
      </c>
      <c r="F401" s="2" t="n">
        <v>1</v>
      </c>
      <c r="G401" s="5" t="n">
        <f aca="false">INDEX(Léky!$H$2:$H$11,MATCH(C401,Léky!$A$2:$A$11,0))</f>
        <v>98</v>
      </c>
      <c r="H401" s="5" t="n">
        <f aca="false">F401*G401</f>
        <v>98</v>
      </c>
    </row>
    <row r="402" customFormat="false" ht="15" hidden="false" customHeight="false" outlineLevel="0" collapsed="false">
      <c r="A402" s="11" t="n">
        <v>45809</v>
      </c>
      <c r="B402" s="2" t="s">
        <v>175</v>
      </c>
      <c r="C402" s="2" t="s">
        <v>63</v>
      </c>
      <c r="D402" s="2" t="str">
        <f aca="false">INDEX(Léky!$B$2:$B$11,MATCH(C402,Léky!$A$2:$A$11,0))</f>
        <v>Omeprazol 20 mg</v>
      </c>
      <c r="E402" s="2" t="str">
        <f aca="false">INDEX(Léky!$E$2:$E$11,MATCH(C402,Léky!$A$2:$A$11,0))</f>
        <v>Trávení</v>
      </c>
      <c r="F402" s="2" t="n">
        <v>1</v>
      </c>
      <c r="G402" s="5" t="n">
        <f aca="false">INDEX(Léky!$H$2:$H$11,MATCH(C402,Léky!$A$2:$A$11,0))</f>
        <v>135</v>
      </c>
      <c r="H402" s="5" t="n">
        <f aca="false">F402*G402</f>
        <v>135</v>
      </c>
    </row>
    <row r="403" customFormat="false" ht="15" hidden="false" customHeight="false" outlineLevel="0" collapsed="false">
      <c r="A403" s="11" t="n">
        <v>45839</v>
      </c>
      <c r="B403" s="2" t="s">
        <v>103</v>
      </c>
      <c r="C403" s="2" t="s">
        <v>34</v>
      </c>
      <c r="D403" s="2" t="str">
        <f aca="false">INDEX(Léky!$B$2:$B$11,MATCH(C403,Léky!$A$2:$A$11,0))</f>
        <v>Metformin 500 mg</v>
      </c>
      <c r="E403" s="2" t="str">
        <f aca="false">INDEX(Léky!$E$2:$E$11,MATCH(C403,Léky!$A$2:$A$11,0))</f>
        <v>Diabetes</v>
      </c>
      <c r="F403" s="2" t="n">
        <v>2</v>
      </c>
      <c r="G403" s="5" t="n">
        <f aca="false">INDEX(Léky!$H$2:$H$11,MATCH(C403,Léky!$A$2:$A$11,0))</f>
        <v>89</v>
      </c>
      <c r="H403" s="5" t="n">
        <f aca="false">F403*G403</f>
        <v>178</v>
      </c>
    </row>
    <row r="404" customFormat="false" ht="15" hidden="false" customHeight="false" outlineLevel="0" collapsed="false">
      <c r="A404" s="11" t="n">
        <v>45839</v>
      </c>
      <c r="B404" s="2" t="s">
        <v>110</v>
      </c>
      <c r="C404" s="2" t="s">
        <v>63</v>
      </c>
      <c r="D404" s="2" t="str">
        <f aca="false">INDEX(Léky!$B$2:$B$11,MATCH(C404,Léky!$A$2:$A$11,0))</f>
        <v>Omeprazol 20 mg</v>
      </c>
      <c r="E404" s="2" t="str">
        <f aca="false">INDEX(Léky!$E$2:$E$11,MATCH(C404,Léky!$A$2:$A$11,0))</f>
        <v>Trávení</v>
      </c>
      <c r="F404" s="2" t="n">
        <v>1</v>
      </c>
      <c r="G404" s="5" t="n">
        <f aca="false">INDEX(Léky!$H$2:$H$11,MATCH(C404,Léky!$A$2:$A$11,0))</f>
        <v>135</v>
      </c>
      <c r="H404" s="5" t="n">
        <f aca="false">F404*G404</f>
        <v>135</v>
      </c>
    </row>
    <row r="405" customFormat="false" ht="15" hidden="false" customHeight="false" outlineLevel="0" collapsed="false">
      <c r="A405" s="11" t="n">
        <v>45839</v>
      </c>
      <c r="B405" s="2" t="s">
        <v>114</v>
      </c>
      <c r="C405" s="2" t="s">
        <v>53</v>
      </c>
      <c r="D405" s="2" t="str">
        <f aca="false">INDEX(Léky!$B$2:$B$11,MATCH(C405,Léky!$A$2:$A$11,0))</f>
        <v>Ramipril 5 mg</v>
      </c>
      <c r="E405" s="2" t="str">
        <f aca="false">INDEX(Léky!$E$2:$E$11,MATCH(C405,Léky!$A$2:$A$11,0))</f>
        <v>Krevní tlak</v>
      </c>
      <c r="F405" s="2" t="n">
        <v>1</v>
      </c>
      <c r="G405" s="5" t="n">
        <f aca="false">INDEX(Léky!$H$2:$H$11,MATCH(C405,Léky!$A$2:$A$11,0))</f>
        <v>98</v>
      </c>
      <c r="H405" s="5" t="n">
        <f aca="false">F405*G405</f>
        <v>98</v>
      </c>
    </row>
    <row r="406" customFormat="false" ht="15" hidden="false" customHeight="false" outlineLevel="0" collapsed="false">
      <c r="A406" s="11" t="n">
        <v>45839</v>
      </c>
      <c r="B406" s="2" t="s">
        <v>118</v>
      </c>
      <c r="C406" s="2" t="s">
        <v>48</v>
      </c>
      <c r="D406" s="2" t="str">
        <f aca="false">INDEX(Léky!$B$2:$B$11,MATCH(C406,Léky!$A$2:$A$11,0))</f>
        <v>Amlodipin 5 mg</v>
      </c>
      <c r="E406" s="2" t="str">
        <f aca="false">INDEX(Léky!$E$2:$E$11,MATCH(C406,Léky!$A$2:$A$11,0))</f>
        <v>Krevní tlak</v>
      </c>
      <c r="F406" s="2" t="n">
        <v>1</v>
      </c>
      <c r="G406" s="5" t="n">
        <f aca="false">INDEX(Léky!$H$2:$H$11,MATCH(C406,Léky!$A$2:$A$11,0))</f>
        <v>72</v>
      </c>
      <c r="H406" s="5" t="n">
        <f aca="false">F406*G406</f>
        <v>72</v>
      </c>
    </row>
    <row r="407" customFormat="false" ht="15" hidden="false" customHeight="false" outlineLevel="0" collapsed="false">
      <c r="A407" s="11" t="n">
        <v>45839</v>
      </c>
      <c r="B407" s="2" t="s">
        <v>118</v>
      </c>
      <c r="C407" s="2" t="s">
        <v>84</v>
      </c>
      <c r="D407" s="2" t="str">
        <f aca="false">INDEX(Léky!$B$2:$B$11,MATCH(C407,Léky!$A$2:$A$11,0))</f>
        <v>Amoxicilin 500 mg</v>
      </c>
      <c r="E407" s="2" t="str">
        <f aca="false">INDEX(Léky!$E$2:$E$11,MATCH(C407,Léky!$A$2:$A$11,0))</f>
        <v>Antibiotika</v>
      </c>
      <c r="F407" s="2" t="n">
        <v>1</v>
      </c>
      <c r="G407" s="5" t="n">
        <f aca="false">INDEX(Léky!$H$2:$H$11,MATCH(C407,Léky!$A$2:$A$11,0))</f>
        <v>120</v>
      </c>
      <c r="H407" s="5" t="n">
        <f aca="false">F407*G407</f>
        <v>120</v>
      </c>
    </row>
    <row r="408" customFormat="false" ht="15" hidden="false" customHeight="false" outlineLevel="0" collapsed="false">
      <c r="A408" s="11" t="n">
        <v>45839</v>
      </c>
      <c r="B408" s="2" t="s">
        <v>119</v>
      </c>
      <c r="C408" s="2" t="s">
        <v>70</v>
      </c>
      <c r="D408" s="2" t="str">
        <f aca="false">INDEX(Léky!$B$2:$B$11,MATCH(C408,Léky!$A$2:$A$11,0))</f>
        <v>Sertralin 50 mg</v>
      </c>
      <c r="E408" s="2" t="str">
        <f aca="false">INDEX(Léky!$E$2:$E$11,MATCH(C408,Léky!$A$2:$A$11,0))</f>
        <v>Psychiatrie</v>
      </c>
      <c r="F408" s="2" t="n">
        <v>1</v>
      </c>
      <c r="G408" s="5" t="n">
        <f aca="false">INDEX(Léky!$H$2:$H$11,MATCH(C408,Léky!$A$2:$A$11,0))</f>
        <v>210</v>
      </c>
      <c r="H408" s="5" t="n">
        <f aca="false">F408*G408</f>
        <v>210</v>
      </c>
    </row>
    <row r="409" customFormat="false" ht="15" hidden="false" customHeight="false" outlineLevel="0" collapsed="false">
      <c r="A409" s="11" t="n">
        <v>45839</v>
      </c>
      <c r="B409" s="2" t="s">
        <v>124</v>
      </c>
      <c r="C409" s="2" t="s">
        <v>48</v>
      </c>
      <c r="D409" s="2" t="str">
        <f aca="false">INDEX(Léky!$B$2:$B$11,MATCH(C409,Léky!$A$2:$A$11,0))</f>
        <v>Amlodipin 5 mg</v>
      </c>
      <c r="E409" s="2" t="str">
        <f aca="false">INDEX(Léky!$E$2:$E$11,MATCH(C409,Léky!$A$2:$A$11,0))</f>
        <v>Krevní tlak</v>
      </c>
      <c r="F409" s="2" t="n">
        <v>1</v>
      </c>
      <c r="G409" s="5" t="n">
        <f aca="false">INDEX(Léky!$H$2:$H$11,MATCH(C409,Léky!$A$2:$A$11,0))</f>
        <v>72</v>
      </c>
      <c r="H409" s="5" t="n">
        <f aca="false">F409*G409</f>
        <v>72</v>
      </c>
    </row>
    <row r="410" customFormat="false" ht="15" hidden="false" customHeight="false" outlineLevel="0" collapsed="false">
      <c r="A410" s="11" t="n">
        <v>45839</v>
      </c>
      <c r="B410" s="2" t="s">
        <v>125</v>
      </c>
      <c r="C410" s="2" t="s">
        <v>70</v>
      </c>
      <c r="D410" s="2" t="str">
        <f aca="false">INDEX(Léky!$B$2:$B$11,MATCH(C410,Léky!$A$2:$A$11,0))</f>
        <v>Sertralin 50 mg</v>
      </c>
      <c r="E410" s="2" t="str">
        <f aca="false">INDEX(Léky!$E$2:$E$11,MATCH(C410,Léky!$A$2:$A$11,0))</f>
        <v>Psychiatrie</v>
      </c>
      <c r="F410" s="2" t="n">
        <v>1</v>
      </c>
      <c r="G410" s="5" t="n">
        <f aca="false">INDEX(Léky!$H$2:$H$11,MATCH(C410,Léky!$A$2:$A$11,0))</f>
        <v>210</v>
      </c>
      <c r="H410" s="5" t="n">
        <f aca="false">F410*G410</f>
        <v>210</v>
      </c>
    </row>
    <row r="411" customFormat="false" ht="15" hidden="false" customHeight="false" outlineLevel="0" collapsed="false">
      <c r="A411" s="11" t="n">
        <v>45839</v>
      </c>
      <c r="B411" s="2" t="s">
        <v>125</v>
      </c>
      <c r="C411" s="2" t="s">
        <v>84</v>
      </c>
      <c r="D411" s="2" t="str">
        <f aca="false">INDEX(Léky!$B$2:$B$11,MATCH(C411,Léky!$A$2:$A$11,0))</f>
        <v>Amoxicilin 500 mg</v>
      </c>
      <c r="E411" s="2" t="str">
        <f aca="false">INDEX(Léky!$E$2:$E$11,MATCH(C411,Léky!$A$2:$A$11,0))</f>
        <v>Antibiotika</v>
      </c>
      <c r="F411" s="2" t="n">
        <v>1</v>
      </c>
      <c r="G411" s="5" t="n">
        <f aca="false">INDEX(Léky!$H$2:$H$11,MATCH(C411,Léky!$A$2:$A$11,0))</f>
        <v>120</v>
      </c>
      <c r="H411" s="5" t="n">
        <f aca="false">F411*G411</f>
        <v>120</v>
      </c>
    </row>
    <row r="412" customFormat="false" ht="15" hidden="false" customHeight="false" outlineLevel="0" collapsed="false">
      <c r="A412" s="11" t="n">
        <v>45839</v>
      </c>
      <c r="B412" s="2" t="s">
        <v>128</v>
      </c>
      <c r="C412" s="2" t="s">
        <v>53</v>
      </c>
      <c r="D412" s="2" t="str">
        <f aca="false">INDEX(Léky!$B$2:$B$11,MATCH(C412,Léky!$A$2:$A$11,0))</f>
        <v>Ramipril 5 mg</v>
      </c>
      <c r="E412" s="2" t="str">
        <f aca="false">INDEX(Léky!$E$2:$E$11,MATCH(C412,Léky!$A$2:$A$11,0))</f>
        <v>Krevní tlak</v>
      </c>
      <c r="F412" s="2" t="n">
        <v>1</v>
      </c>
      <c r="G412" s="5" t="n">
        <f aca="false">INDEX(Léky!$H$2:$H$11,MATCH(C412,Léky!$A$2:$A$11,0))</f>
        <v>98</v>
      </c>
      <c r="H412" s="5" t="n">
        <f aca="false">F412*G412</f>
        <v>98</v>
      </c>
    </row>
    <row r="413" customFormat="false" ht="15" hidden="false" customHeight="false" outlineLevel="0" collapsed="false">
      <c r="A413" s="11" t="n">
        <v>45839</v>
      </c>
      <c r="B413" s="2" t="s">
        <v>129</v>
      </c>
      <c r="C413" s="2" t="s">
        <v>34</v>
      </c>
      <c r="D413" s="2" t="str">
        <f aca="false">INDEX(Léky!$B$2:$B$11,MATCH(C413,Léky!$A$2:$A$11,0))</f>
        <v>Metformin 500 mg</v>
      </c>
      <c r="E413" s="2" t="str">
        <f aca="false">INDEX(Léky!$E$2:$E$11,MATCH(C413,Léky!$A$2:$A$11,0))</f>
        <v>Diabetes</v>
      </c>
      <c r="F413" s="2" t="n">
        <v>1</v>
      </c>
      <c r="G413" s="5" t="n">
        <f aca="false">INDEX(Léky!$H$2:$H$11,MATCH(C413,Léky!$A$2:$A$11,0))</f>
        <v>89</v>
      </c>
      <c r="H413" s="5" t="n">
        <f aca="false">F413*G413</f>
        <v>89</v>
      </c>
    </row>
    <row r="414" customFormat="false" ht="15" hidden="false" customHeight="false" outlineLevel="0" collapsed="false">
      <c r="A414" s="11" t="n">
        <v>45839</v>
      </c>
      <c r="B414" s="2" t="s">
        <v>129</v>
      </c>
      <c r="C414" s="2" t="s">
        <v>70</v>
      </c>
      <c r="D414" s="2" t="str">
        <f aca="false">INDEX(Léky!$B$2:$B$11,MATCH(C414,Léky!$A$2:$A$11,0))</f>
        <v>Sertralin 50 mg</v>
      </c>
      <c r="E414" s="2" t="str">
        <f aca="false">INDEX(Léky!$E$2:$E$11,MATCH(C414,Léky!$A$2:$A$11,0))</f>
        <v>Psychiatrie</v>
      </c>
      <c r="F414" s="2" t="n">
        <v>1</v>
      </c>
      <c r="G414" s="5" t="n">
        <f aca="false">INDEX(Léky!$H$2:$H$11,MATCH(C414,Léky!$A$2:$A$11,0))</f>
        <v>210</v>
      </c>
      <c r="H414" s="5" t="n">
        <f aca="false">F414*G414</f>
        <v>210</v>
      </c>
    </row>
    <row r="415" customFormat="false" ht="15" hidden="false" customHeight="false" outlineLevel="0" collapsed="false">
      <c r="A415" s="11" t="n">
        <v>45839</v>
      </c>
      <c r="B415" s="2" t="s">
        <v>130</v>
      </c>
      <c r="C415" s="2" t="s">
        <v>57</v>
      </c>
      <c r="D415" s="2" t="str">
        <f aca="false">INDEX(Léky!$B$2:$B$11,MATCH(C415,Léky!$A$2:$A$11,0))</f>
        <v>Levothyroxin 50 µg</v>
      </c>
      <c r="E415" s="2" t="str">
        <f aca="false">INDEX(Léky!$E$2:$E$11,MATCH(C415,Léky!$A$2:$A$11,0))</f>
        <v>Štítná žláza</v>
      </c>
      <c r="F415" s="2" t="n">
        <v>1</v>
      </c>
      <c r="G415" s="5" t="n">
        <f aca="false">INDEX(Léky!$H$2:$H$11,MATCH(C415,Léky!$A$2:$A$11,0))</f>
        <v>118</v>
      </c>
      <c r="H415" s="5" t="n">
        <f aca="false">F415*G415</f>
        <v>118</v>
      </c>
    </row>
    <row r="416" customFormat="false" ht="15" hidden="false" customHeight="false" outlineLevel="0" collapsed="false">
      <c r="A416" s="11" t="n">
        <v>45839</v>
      </c>
      <c r="B416" s="2" t="s">
        <v>130</v>
      </c>
      <c r="C416" s="2" t="s">
        <v>91</v>
      </c>
      <c r="D416" s="2" t="str">
        <f aca="false">INDEX(Léky!$B$2:$B$11,MATCH(C416,Léky!$A$2:$A$11,0))</f>
        <v>Ibuprofen 400 mg</v>
      </c>
      <c r="E416" s="2" t="str">
        <f aca="false">INDEX(Léky!$E$2:$E$11,MATCH(C416,Léky!$A$2:$A$11,0))</f>
        <v>Bolest</v>
      </c>
      <c r="F416" s="2" t="n">
        <v>2</v>
      </c>
      <c r="G416" s="5" t="n">
        <f aca="false">INDEX(Léky!$H$2:$H$11,MATCH(C416,Léky!$A$2:$A$11,0))</f>
        <v>65</v>
      </c>
      <c r="H416" s="5" t="n">
        <f aca="false">F416*G416</f>
        <v>130</v>
      </c>
    </row>
    <row r="417" customFormat="false" ht="15" hidden="false" customHeight="false" outlineLevel="0" collapsed="false">
      <c r="A417" s="11" t="n">
        <v>45839</v>
      </c>
      <c r="B417" s="2" t="s">
        <v>131</v>
      </c>
      <c r="C417" s="2" t="s">
        <v>34</v>
      </c>
      <c r="D417" s="2" t="str">
        <f aca="false">INDEX(Léky!$B$2:$B$11,MATCH(C417,Léky!$A$2:$A$11,0))</f>
        <v>Metformin 500 mg</v>
      </c>
      <c r="E417" s="2" t="str">
        <f aca="false">INDEX(Léky!$E$2:$E$11,MATCH(C417,Léky!$A$2:$A$11,0))</f>
        <v>Diabetes</v>
      </c>
      <c r="F417" s="2" t="n">
        <v>2</v>
      </c>
      <c r="G417" s="5" t="n">
        <f aca="false">INDEX(Léky!$H$2:$H$11,MATCH(C417,Léky!$A$2:$A$11,0))</f>
        <v>89</v>
      </c>
      <c r="H417" s="5" t="n">
        <f aca="false">F417*G417</f>
        <v>178</v>
      </c>
    </row>
    <row r="418" customFormat="false" ht="15" hidden="false" customHeight="false" outlineLevel="0" collapsed="false">
      <c r="A418" s="11" t="n">
        <v>45839</v>
      </c>
      <c r="B418" s="2" t="s">
        <v>131</v>
      </c>
      <c r="C418" s="2" t="s">
        <v>53</v>
      </c>
      <c r="D418" s="2" t="str">
        <f aca="false">INDEX(Léky!$B$2:$B$11,MATCH(C418,Léky!$A$2:$A$11,0))</f>
        <v>Ramipril 5 mg</v>
      </c>
      <c r="E418" s="2" t="str">
        <f aca="false">INDEX(Léky!$E$2:$E$11,MATCH(C418,Léky!$A$2:$A$11,0))</f>
        <v>Krevní tlak</v>
      </c>
      <c r="F418" s="2" t="n">
        <v>1</v>
      </c>
      <c r="G418" s="5" t="n">
        <f aca="false">INDEX(Léky!$H$2:$H$11,MATCH(C418,Léky!$A$2:$A$11,0))</f>
        <v>98</v>
      </c>
      <c r="H418" s="5" t="n">
        <f aca="false">F418*G418</f>
        <v>98</v>
      </c>
    </row>
    <row r="419" customFormat="false" ht="15" hidden="false" customHeight="false" outlineLevel="0" collapsed="false">
      <c r="A419" s="11" t="n">
        <v>45839</v>
      </c>
      <c r="B419" s="2" t="s">
        <v>131</v>
      </c>
      <c r="C419" s="2" t="s">
        <v>63</v>
      </c>
      <c r="D419" s="2" t="str">
        <f aca="false">INDEX(Léky!$B$2:$B$11,MATCH(C419,Léky!$A$2:$A$11,0))</f>
        <v>Omeprazol 20 mg</v>
      </c>
      <c r="E419" s="2" t="str">
        <f aca="false">INDEX(Léky!$E$2:$E$11,MATCH(C419,Léky!$A$2:$A$11,0))</f>
        <v>Trávení</v>
      </c>
      <c r="F419" s="2" t="n">
        <v>1</v>
      </c>
      <c r="G419" s="5" t="n">
        <f aca="false">INDEX(Léky!$H$2:$H$11,MATCH(C419,Léky!$A$2:$A$11,0))</f>
        <v>135</v>
      </c>
      <c r="H419" s="5" t="n">
        <f aca="false">F419*G419</f>
        <v>135</v>
      </c>
    </row>
    <row r="420" customFormat="false" ht="15" hidden="false" customHeight="false" outlineLevel="0" collapsed="false">
      <c r="A420" s="11" t="n">
        <v>45839</v>
      </c>
      <c r="B420" s="2" t="s">
        <v>133</v>
      </c>
      <c r="C420" s="2" t="s">
        <v>48</v>
      </c>
      <c r="D420" s="2" t="str">
        <f aca="false">INDEX(Léky!$B$2:$B$11,MATCH(C420,Léky!$A$2:$A$11,0))</f>
        <v>Amlodipin 5 mg</v>
      </c>
      <c r="E420" s="2" t="str">
        <f aca="false">INDEX(Léky!$E$2:$E$11,MATCH(C420,Léky!$A$2:$A$11,0))</f>
        <v>Krevní tlak</v>
      </c>
      <c r="F420" s="2" t="n">
        <v>1</v>
      </c>
      <c r="G420" s="5" t="n">
        <f aca="false">INDEX(Léky!$H$2:$H$11,MATCH(C420,Léky!$A$2:$A$11,0))</f>
        <v>72</v>
      </c>
      <c r="H420" s="5" t="n">
        <f aca="false">F420*G420</f>
        <v>72</v>
      </c>
    </row>
    <row r="421" customFormat="false" ht="15" hidden="false" customHeight="false" outlineLevel="0" collapsed="false">
      <c r="A421" s="11" t="n">
        <v>45839</v>
      </c>
      <c r="B421" s="2" t="s">
        <v>135</v>
      </c>
      <c r="C421" s="2" t="s">
        <v>63</v>
      </c>
      <c r="D421" s="2" t="str">
        <f aca="false">INDEX(Léky!$B$2:$B$11,MATCH(C421,Léky!$A$2:$A$11,0))</f>
        <v>Omeprazol 20 mg</v>
      </c>
      <c r="E421" s="2" t="str">
        <f aca="false">INDEX(Léky!$E$2:$E$11,MATCH(C421,Léky!$A$2:$A$11,0))</f>
        <v>Trávení</v>
      </c>
      <c r="F421" s="2" t="n">
        <v>1</v>
      </c>
      <c r="G421" s="5" t="n">
        <f aca="false">INDEX(Léky!$H$2:$H$11,MATCH(C421,Léky!$A$2:$A$11,0))</f>
        <v>135</v>
      </c>
      <c r="H421" s="5" t="n">
        <f aca="false">F421*G421</f>
        <v>135</v>
      </c>
    </row>
    <row r="422" customFormat="false" ht="15" hidden="false" customHeight="false" outlineLevel="0" collapsed="false">
      <c r="A422" s="11" t="n">
        <v>45839</v>
      </c>
      <c r="B422" s="2" t="s">
        <v>136</v>
      </c>
      <c r="C422" s="2" t="s">
        <v>34</v>
      </c>
      <c r="D422" s="2" t="str">
        <f aca="false">INDEX(Léky!$B$2:$B$11,MATCH(C422,Léky!$A$2:$A$11,0))</f>
        <v>Metformin 500 mg</v>
      </c>
      <c r="E422" s="2" t="str">
        <f aca="false">INDEX(Léky!$E$2:$E$11,MATCH(C422,Léky!$A$2:$A$11,0))</f>
        <v>Diabetes</v>
      </c>
      <c r="F422" s="2" t="n">
        <v>1</v>
      </c>
      <c r="G422" s="5" t="n">
        <f aca="false">INDEX(Léky!$H$2:$H$11,MATCH(C422,Léky!$A$2:$A$11,0))</f>
        <v>89</v>
      </c>
      <c r="H422" s="5" t="n">
        <f aca="false">F422*G422</f>
        <v>89</v>
      </c>
    </row>
    <row r="423" customFormat="false" ht="15" hidden="false" customHeight="false" outlineLevel="0" collapsed="false">
      <c r="A423" s="11" t="n">
        <v>45839</v>
      </c>
      <c r="B423" s="2" t="s">
        <v>137</v>
      </c>
      <c r="C423" s="2" t="s">
        <v>70</v>
      </c>
      <c r="D423" s="2" t="str">
        <f aca="false">INDEX(Léky!$B$2:$B$11,MATCH(C423,Léky!$A$2:$A$11,0))</f>
        <v>Sertralin 50 mg</v>
      </c>
      <c r="E423" s="2" t="str">
        <f aca="false">INDEX(Léky!$E$2:$E$11,MATCH(C423,Léky!$A$2:$A$11,0))</f>
        <v>Psychiatrie</v>
      </c>
      <c r="F423" s="2" t="n">
        <v>1</v>
      </c>
      <c r="G423" s="5" t="n">
        <f aca="false">INDEX(Léky!$H$2:$H$11,MATCH(C423,Léky!$A$2:$A$11,0))</f>
        <v>210</v>
      </c>
      <c r="H423" s="5" t="n">
        <f aca="false">F423*G423</f>
        <v>210</v>
      </c>
    </row>
    <row r="424" customFormat="false" ht="15" hidden="false" customHeight="false" outlineLevel="0" collapsed="false">
      <c r="A424" s="11" t="n">
        <v>45839</v>
      </c>
      <c r="B424" s="2" t="s">
        <v>138</v>
      </c>
      <c r="C424" s="2" t="s">
        <v>48</v>
      </c>
      <c r="D424" s="2" t="str">
        <f aca="false">INDEX(Léky!$B$2:$B$11,MATCH(C424,Léky!$A$2:$A$11,0))</f>
        <v>Amlodipin 5 mg</v>
      </c>
      <c r="E424" s="2" t="str">
        <f aca="false">INDEX(Léky!$E$2:$E$11,MATCH(C424,Léky!$A$2:$A$11,0))</f>
        <v>Krevní tlak</v>
      </c>
      <c r="F424" s="2" t="n">
        <v>1</v>
      </c>
      <c r="G424" s="5" t="n">
        <f aca="false">INDEX(Léky!$H$2:$H$11,MATCH(C424,Léky!$A$2:$A$11,0))</f>
        <v>72</v>
      </c>
      <c r="H424" s="5" t="n">
        <f aca="false">F424*G424</f>
        <v>72</v>
      </c>
    </row>
    <row r="425" customFormat="false" ht="15" hidden="false" customHeight="false" outlineLevel="0" collapsed="false">
      <c r="A425" s="11" t="n">
        <v>45839</v>
      </c>
      <c r="B425" s="2" t="s">
        <v>138</v>
      </c>
      <c r="C425" s="2" t="s">
        <v>57</v>
      </c>
      <c r="D425" s="2" t="str">
        <f aca="false">INDEX(Léky!$B$2:$B$11,MATCH(C425,Léky!$A$2:$A$11,0))</f>
        <v>Levothyroxin 50 µg</v>
      </c>
      <c r="E425" s="2" t="str">
        <f aca="false">INDEX(Léky!$E$2:$E$11,MATCH(C425,Léky!$A$2:$A$11,0))</f>
        <v>Štítná žláza</v>
      </c>
      <c r="F425" s="2" t="n">
        <v>1</v>
      </c>
      <c r="G425" s="5" t="n">
        <f aca="false">INDEX(Léky!$H$2:$H$11,MATCH(C425,Léky!$A$2:$A$11,0))</f>
        <v>118</v>
      </c>
      <c r="H425" s="5" t="n">
        <f aca="false">F425*G425</f>
        <v>118</v>
      </c>
    </row>
    <row r="426" customFormat="false" ht="15" hidden="false" customHeight="false" outlineLevel="0" collapsed="false">
      <c r="A426" s="11" t="n">
        <v>45839</v>
      </c>
      <c r="B426" s="2" t="s">
        <v>138</v>
      </c>
      <c r="C426" s="2" t="s">
        <v>63</v>
      </c>
      <c r="D426" s="2" t="str">
        <f aca="false">INDEX(Léky!$B$2:$B$11,MATCH(C426,Léky!$A$2:$A$11,0))</f>
        <v>Omeprazol 20 mg</v>
      </c>
      <c r="E426" s="2" t="str">
        <f aca="false">INDEX(Léky!$E$2:$E$11,MATCH(C426,Léky!$A$2:$A$11,0))</f>
        <v>Trávení</v>
      </c>
      <c r="F426" s="2" t="n">
        <v>1</v>
      </c>
      <c r="G426" s="5" t="n">
        <f aca="false">INDEX(Léky!$H$2:$H$11,MATCH(C426,Léky!$A$2:$A$11,0))</f>
        <v>135</v>
      </c>
      <c r="H426" s="5" t="n">
        <f aca="false">F426*G426</f>
        <v>135</v>
      </c>
    </row>
    <row r="427" customFormat="false" ht="15" hidden="false" customHeight="false" outlineLevel="0" collapsed="false">
      <c r="A427" s="11" t="n">
        <v>45839</v>
      </c>
      <c r="B427" s="2" t="s">
        <v>138</v>
      </c>
      <c r="C427" s="2" t="s">
        <v>84</v>
      </c>
      <c r="D427" s="2" t="str">
        <f aca="false">INDEX(Léky!$B$2:$B$11,MATCH(C427,Léky!$A$2:$A$11,0))</f>
        <v>Amoxicilin 500 mg</v>
      </c>
      <c r="E427" s="2" t="str">
        <f aca="false">INDEX(Léky!$E$2:$E$11,MATCH(C427,Léky!$A$2:$A$11,0))</f>
        <v>Antibiotika</v>
      </c>
      <c r="F427" s="2" t="n">
        <v>1</v>
      </c>
      <c r="G427" s="5" t="n">
        <f aca="false">INDEX(Léky!$H$2:$H$11,MATCH(C427,Léky!$A$2:$A$11,0))</f>
        <v>120</v>
      </c>
      <c r="H427" s="5" t="n">
        <f aca="false">F427*G427</f>
        <v>120</v>
      </c>
    </row>
    <row r="428" customFormat="false" ht="15" hidden="false" customHeight="false" outlineLevel="0" collapsed="false">
      <c r="A428" s="11" t="n">
        <v>45839</v>
      </c>
      <c r="B428" s="2" t="s">
        <v>140</v>
      </c>
      <c r="C428" s="2" t="s">
        <v>42</v>
      </c>
      <c r="D428" s="2" t="str">
        <f aca="false">INDEX(Léky!$B$2:$B$11,MATCH(C428,Léky!$A$2:$A$11,0))</f>
        <v>Atorvastatin 20 mg</v>
      </c>
      <c r="E428" s="2" t="str">
        <f aca="false">INDEX(Léky!$E$2:$E$11,MATCH(C428,Léky!$A$2:$A$11,0))</f>
        <v>Cholesterol</v>
      </c>
      <c r="F428" s="2" t="n">
        <v>1</v>
      </c>
      <c r="G428" s="5" t="n">
        <f aca="false">INDEX(Léky!$H$2:$H$11,MATCH(C428,Léky!$A$2:$A$11,0))</f>
        <v>145</v>
      </c>
      <c r="H428" s="5" t="n">
        <f aca="false">F428*G428</f>
        <v>145</v>
      </c>
    </row>
    <row r="429" customFormat="false" ht="15" hidden="false" customHeight="false" outlineLevel="0" collapsed="false">
      <c r="A429" s="11" t="n">
        <v>45839</v>
      </c>
      <c r="B429" s="2" t="s">
        <v>140</v>
      </c>
      <c r="C429" s="2" t="s">
        <v>48</v>
      </c>
      <c r="D429" s="2" t="str">
        <f aca="false">INDEX(Léky!$B$2:$B$11,MATCH(C429,Léky!$A$2:$A$11,0))</f>
        <v>Amlodipin 5 mg</v>
      </c>
      <c r="E429" s="2" t="str">
        <f aca="false">INDEX(Léky!$E$2:$E$11,MATCH(C429,Léky!$A$2:$A$11,0))</f>
        <v>Krevní tlak</v>
      </c>
      <c r="F429" s="2" t="n">
        <v>1</v>
      </c>
      <c r="G429" s="5" t="n">
        <f aca="false">INDEX(Léky!$H$2:$H$11,MATCH(C429,Léky!$A$2:$A$11,0))</f>
        <v>72</v>
      </c>
      <c r="H429" s="5" t="n">
        <f aca="false">F429*G429</f>
        <v>72</v>
      </c>
    </row>
    <row r="430" customFormat="false" ht="15" hidden="false" customHeight="false" outlineLevel="0" collapsed="false">
      <c r="A430" s="11" t="n">
        <v>45839</v>
      </c>
      <c r="B430" s="2" t="s">
        <v>141</v>
      </c>
      <c r="C430" s="2" t="s">
        <v>53</v>
      </c>
      <c r="D430" s="2" t="str">
        <f aca="false">INDEX(Léky!$B$2:$B$11,MATCH(C430,Léky!$A$2:$A$11,0))</f>
        <v>Ramipril 5 mg</v>
      </c>
      <c r="E430" s="2" t="str">
        <f aca="false">INDEX(Léky!$E$2:$E$11,MATCH(C430,Léky!$A$2:$A$11,0))</f>
        <v>Krevní tlak</v>
      </c>
      <c r="F430" s="2" t="n">
        <v>1</v>
      </c>
      <c r="G430" s="5" t="n">
        <f aca="false">INDEX(Léky!$H$2:$H$11,MATCH(C430,Léky!$A$2:$A$11,0))</f>
        <v>98</v>
      </c>
      <c r="H430" s="5" t="n">
        <f aca="false">F430*G430</f>
        <v>98</v>
      </c>
    </row>
    <row r="431" customFormat="false" ht="15" hidden="false" customHeight="false" outlineLevel="0" collapsed="false">
      <c r="A431" s="11" t="n">
        <v>45839</v>
      </c>
      <c r="B431" s="2" t="s">
        <v>142</v>
      </c>
      <c r="C431" s="2" t="s">
        <v>48</v>
      </c>
      <c r="D431" s="2" t="str">
        <f aca="false">INDEX(Léky!$B$2:$B$11,MATCH(C431,Léky!$A$2:$A$11,0))</f>
        <v>Amlodipin 5 mg</v>
      </c>
      <c r="E431" s="2" t="str">
        <f aca="false">INDEX(Léky!$E$2:$E$11,MATCH(C431,Léky!$A$2:$A$11,0))</f>
        <v>Krevní tlak</v>
      </c>
      <c r="F431" s="2" t="n">
        <v>1</v>
      </c>
      <c r="G431" s="5" t="n">
        <f aca="false">INDEX(Léky!$H$2:$H$11,MATCH(C431,Léky!$A$2:$A$11,0))</f>
        <v>72</v>
      </c>
      <c r="H431" s="5" t="n">
        <f aca="false">F431*G431</f>
        <v>72</v>
      </c>
    </row>
    <row r="432" customFormat="false" ht="15" hidden="false" customHeight="false" outlineLevel="0" collapsed="false">
      <c r="A432" s="11" t="n">
        <v>45839</v>
      </c>
      <c r="B432" s="2" t="s">
        <v>145</v>
      </c>
      <c r="C432" s="2" t="s">
        <v>42</v>
      </c>
      <c r="D432" s="2" t="str">
        <f aca="false">INDEX(Léky!$B$2:$B$11,MATCH(C432,Léky!$A$2:$A$11,0))</f>
        <v>Atorvastatin 20 mg</v>
      </c>
      <c r="E432" s="2" t="str">
        <f aca="false">INDEX(Léky!$E$2:$E$11,MATCH(C432,Léky!$A$2:$A$11,0))</f>
        <v>Cholesterol</v>
      </c>
      <c r="F432" s="2" t="n">
        <v>1</v>
      </c>
      <c r="G432" s="5" t="n">
        <f aca="false">INDEX(Léky!$H$2:$H$11,MATCH(C432,Léky!$A$2:$A$11,0))</f>
        <v>145</v>
      </c>
      <c r="H432" s="5" t="n">
        <f aca="false">F432*G432</f>
        <v>145</v>
      </c>
    </row>
    <row r="433" customFormat="false" ht="15" hidden="false" customHeight="false" outlineLevel="0" collapsed="false">
      <c r="A433" s="11" t="n">
        <v>45839</v>
      </c>
      <c r="B433" s="2" t="s">
        <v>145</v>
      </c>
      <c r="C433" s="2" t="s">
        <v>57</v>
      </c>
      <c r="D433" s="2" t="str">
        <f aca="false">INDEX(Léky!$B$2:$B$11,MATCH(C433,Léky!$A$2:$A$11,0))</f>
        <v>Levothyroxin 50 µg</v>
      </c>
      <c r="E433" s="2" t="str">
        <f aca="false">INDEX(Léky!$E$2:$E$11,MATCH(C433,Léky!$A$2:$A$11,0))</f>
        <v>Štítná žláza</v>
      </c>
      <c r="F433" s="2" t="n">
        <v>1</v>
      </c>
      <c r="G433" s="5" t="n">
        <f aca="false">INDEX(Léky!$H$2:$H$11,MATCH(C433,Léky!$A$2:$A$11,0))</f>
        <v>118</v>
      </c>
      <c r="H433" s="5" t="n">
        <f aca="false">F433*G433</f>
        <v>118</v>
      </c>
    </row>
    <row r="434" customFormat="false" ht="15" hidden="false" customHeight="false" outlineLevel="0" collapsed="false">
      <c r="A434" s="11" t="n">
        <v>45839</v>
      </c>
      <c r="B434" s="2" t="s">
        <v>145</v>
      </c>
      <c r="C434" s="2" t="s">
        <v>76</v>
      </c>
      <c r="D434" s="2" t="str">
        <f aca="false">INDEX(Léky!$B$2:$B$11,MATCH(C434,Léky!$A$2:$A$11,0))</f>
        <v>Salbutamol inhalátor</v>
      </c>
      <c r="E434" s="2" t="str">
        <f aca="false">INDEX(Léky!$E$2:$E$11,MATCH(C434,Léky!$A$2:$A$11,0))</f>
        <v>Dýchací cesty</v>
      </c>
      <c r="F434" s="2" t="n">
        <v>1</v>
      </c>
      <c r="G434" s="5" t="n">
        <f aca="false">INDEX(Léky!$H$2:$H$11,MATCH(C434,Léky!$A$2:$A$11,0))</f>
        <v>165</v>
      </c>
      <c r="H434" s="5" t="n">
        <f aca="false">F434*G434</f>
        <v>165</v>
      </c>
    </row>
    <row r="435" customFormat="false" ht="15" hidden="false" customHeight="false" outlineLevel="0" collapsed="false">
      <c r="A435" s="11" t="n">
        <v>45839</v>
      </c>
      <c r="B435" s="2" t="s">
        <v>147</v>
      </c>
      <c r="C435" s="2" t="s">
        <v>34</v>
      </c>
      <c r="D435" s="2" t="str">
        <f aca="false">INDEX(Léky!$B$2:$B$11,MATCH(C435,Léky!$A$2:$A$11,0))</f>
        <v>Metformin 500 mg</v>
      </c>
      <c r="E435" s="2" t="str">
        <f aca="false">INDEX(Léky!$E$2:$E$11,MATCH(C435,Léky!$A$2:$A$11,0))</f>
        <v>Diabetes</v>
      </c>
      <c r="F435" s="2" t="n">
        <v>1</v>
      </c>
      <c r="G435" s="5" t="n">
        <f aca="false">INDEX(Léky!$H$2:$H$11,MATCH(C435,Léky!$A$2:$A$11,0))</f>
        <v>89</v>
      </c>
      <c r="H435" s="5" t="n">
        <f aca="false">F435*G435</f>
        <v>89</v>
      </c>
    </row>
    <row r="436" customFormat="false" ht="15" hidden="false" customHeight="false" outlineLevel="0" collapsed="false">
      <c r="A436" s="11" t="n">
        <v>45839</v>
      </c>
      <c r="B436" s="2" t="s">
        <v>149</v>
      </c>
      <c r="C436" s="2" t="s">
        <v>48</v>
      </c>
      <c r="D436" s="2" t="str">
        <f aca="false">INDEX(Léky!$B$2:$B$11,MATCH(C436,Léky!$A$2:$A$11,0))</f>
        <v>Amlodipin 5 mg</v>
      </c>
      <c r="E436" s="2" t="str">
        <f aca="false">INDEX(Léky!$E$2:$E$11,MATCH(C436,Léky!$A$2:$A$11,0))</f>
        <v>Krevní tlak</v>
      </c>
      <c r="F436" s="2" t="n">
        <v>1</v>
      </c>
      <c r="G436" s="5" t="n">
        <f aca="false">INDEX(Léky!$H$2:$H$11,MATCH(C436,Léky!$A$2:$A$11,0))</f>
        <v>72</v>
      </c>
      <c r="H436" s="5" t="n">
        <f aca="false">F436*G436</f>
        <v>72</v>
      </c>
    </row>
    <row r="437" customFormat="false" ht="15" hidden="false" customHeight="false" outlineLevel="0" collapsed="false">
      <c r="A437" s="11" t="n">
        <v>45839</v>
      </c>
      <c r="B437" s="2" t="s">
        <v>150</v>
      </c>
      <c r="C437" s="2" t="s">
        <v>53</v>
      </c>
      <c r="D437" s="2" t="str">
        <f aca="false">INDEX(Léky!$B$2:$B$11,MATCH(C437,Léky!$A$2:$A$11,0))</f>
        <v>Ramipril 5 mg</v>
      </c>
      <c r="E437" s="2" t="str">
        <f aca="false">INDEX(Léky!$E$2:$E$11,MATCH(C437,Léky!$A$2:$A$11,0))</f>
        <v>Krevní tlak</v>
      </c>
      <c r="F437" s="2" t="n">
        <v>1</v>
      </c>
      <c r="G437" s="5" t="n">
        <f aca="false">INDEX(Léky!$H$2:$H$11,MATCH(C437,Léky!$A$2:$A$11,0))</f>
        <v>98</v>
      </c>
      <c r="H437" s="5" t="n">
        <f aca="false">F437*G437</f>
        <v>98</v>
      </c>
    </row>
    <row r="438" customFormat="false" ht="15" hidden="false" customHeight="false" outlineLevel="0" collapsed="false">
      <c r="A438" s="11" t="n">
        <v>45839</v>
      </c>
      <c r="B438" s="2" t="s">
        <v>150</v>
      </c>
      <c r="C438" s="2" t="s">
        <v>57</v>
      </c>
      <c r="D438" s="2" t="str">
        <f aca="false">INDEX(Léky!$B$2:$B$11,MATCH(C438,Léky!$A$2:$A$11,0))</f>
        <v>Levothyroxin 50 µg</v>
      </c>
      <c r="E438" s="2" t="str">
        <f aca="false">INDEX(Léky!$E$2:$E$11,MATCH(C438,Léky!$A$2:$A$11,0))</f>
        <v>Štítná žláza</v>
      </c>
      <c r="F438" s="2" t="n">
        <v>1</v>
      </c>
      <c r="G438" s="5" t="n">
        <f aca="false">INDEX(Léky!$H$2:$H$11,MATCH(C438,Léky!$A$2:$A$11,0))</f>
        <v>118</v>
      </c>
      <c r="H438" s="5" t="n">
        <f aca="false">F438*G438</f>
        <v>118</v>
      </c>
    </row>
    <row r="439" customFormat="false" ht="15" hidden="false" customHeight="false" outlineLevel="0" collapsed="false">
      <c r="A439" s="11" t="n">
        <v>45839</v>
      </c>
      <c r="B439" s="2" t="s">
        <v>151</v>
      </c>
      <c r="C439" s="2" t="s">
        <v>63</v>
      </c>
      <c r="D439" s="2" t="str">
        <f aca="false">INDEX(Léky!$B$2:$B$11,MATCH(C439,Léky!$A$2:$A$11,0))</f>
        <v>Omeprazol 20 mg</v>
      </c>
      <c r="E439" s="2" t="str">
        <f aca="false">INDEX(Léky!$E$2:$E$11,MATCH(C439,Léky!$A$2:$A$11,0))</f>
        <v>Trávení</v>
      </c>
      <c r="F439" s="2" t="n">
        <v>1</v>
      </c>
      <c r="G439" s="5" t="n">
        <f aca="false">INDEX(Léky!$H$2:$H$11,MATCH(C439,Léky!$A$2:$A$11,0))</f>
        <v>135</v>
      </c>
      <c r="H439" s="5" t="n">
        <f aca="false">F439*G439</f>
        <v>135</v>
      </c>
    </row>
    <row r="440" customFormat="false" ht="15" hidden="false" customHeight="false" outlineLevel="0" collapsed="false">
      <c r="A440" s="11" t="n">
        <v>45839</v>
      </c>
      <c r="B440" s="2" t="s">
        <v>152</v>
      </c>
      <c r="C440" s="2" t="s">
        <v>53</v>
      </c>
      <c r="D440" s="2" t="str">
        <f aca="false">INDEX(Léky!$B$2:$B$11,MATCH(C440,Léky!$A$2:$A$11,0))</f>
        <v>Ramipril 5 mg</v>
      </c>
      <c r="E440" s="2" t="str">
        <f aca="false">INDEX(Léky!$E$2:$E$11,MATCH(C440,Léky!$A$2:$A$11,0))</f>
        <v>Krevní tlak</v>
      </c>
      <c r="F440" s="2" t="n">
        <v>1</v>
      </c>
      <c r="G440" s="5" t="n">
        <f aca="false">INDEX(Léky!$H$2:$H$11,MATCH(C440,Léky!$A$2:$A$11,0))</f>
        <v>98</v>
      </c>
      <c r="H440" s="5" t="n">
        <f aca="false">F440*G440</f>
        <v>98</v>
      </c>
    </row>
    <row r="441" customFormat="false" ht="15" hidden="false" customHeight="false" outlineLevel="0" collapsed="false">
      <c r="A441" s="11" t="n">
        <v>45839</v>
      </c>
      <c r="B441" s="2" t="s">
        <v>154</v>
      </c>
      <c r="C441" s="2" t="s">
        <v>48</v>
      </c>
      <c r="D441" s="2" t="str">
        <f aca="false">INDEX(Léky!$B$2:$B$11,MATCH(C441,Léky!$A$2:$A$11,0))</f>
        <v>Amlodipin 5 mg</v>
      </c>
      <c r="E441" s="2" t="str">
        <f aca="false">INDEX(Léky!$E$2:$E$11,MATCH(C441,Léky!$A$2:$A$11,0))</f>
        <v>Krevní tlak</v>
      </c>
      <c r="F441" s="2" t="n">
        <v>1</v>
      </c>
      <c r="G441" s="5" t="n">
        <f aca="false">INDEX(Léky!$H$2:$H$11,MATCH(C441,Léky!$A$2:$A$11,0))</f>
        <v>72</v>
      </c>
      <c r="H441" s="5" t="n">
        <f aca="false">F441*G441</f>
        <v>72</v>
      </c>
    </row>
    <row r="442" customFormat="false" ht="15" hidden="false" customHeight="false" outlineLevel="0" collapsed="false">
      <c r="A442" s="11" t="n">
        <v>45839</v>
      </c>
      <c r="B442" s="2" t="s">
        <v>155</v>
      </c>
      <c r="C442" s="2" t="s">
        <v>42</v>
      </c>
      <c r="D442" s="2" t="str">
        <f aca="false">INDEX(Léky!$B$2:$B$11,MATCH(C442,Léky!$A$2:$A$11,0))</f>
        <v>Atorvastatin 20 mg</v>
      </c>
      <c r="E442" s="2" t="str">
        <f aca="false">INDEX(Léky!$E$2:$E$11,MATCH(C442,Léky!$A$2:$A$11,0))</f>
        <v>Cholesterol</v>
      </c>
      <c r="F442" s="2" t="n">
        <v>1</v>
      </c>
      <c r="G442" s="5" t="n">
        <f aca="false">INDEX(Léky!$H$2:$H$11,MATCH(C442,Léky!$A$2:$A$11,0))</f>
        <v>145</v>
      </c>
      <c r="H442" s="5" t="n">
        <f aca="false">F442*G442</f>
        <v>145</v>
      </c>
    </row>
    <row r="443" customFormat="false" ht="15" hidden="false" customHeight="false" outlineLevel="0" collapsed="false">
      <c r="A443" s="11" t="n">
        <v>45839</v>
      </c>
      <c r="B443" s="2" t="s">
        <v>155</v>
      </c>
      <c r="C443" s="2" t="s">
        <v>48</v>
      </c>
      <c r="D443" s="2" t="str">
        <f aca="false">INDEX(Léky!$B$2:$B$11,MATCH(C443,Léky!$A$2:$A$11,0))</f>
        <v>Amlodipin 5 mg</v>
      </c>
      <c r="E443" s="2" t="str">
        <f aca="false">INDEX(Léky!$E$2:$E$11,MATCH(C443,Léky!$A$2:$A$11,0))</f>
        <v>Krevní tlak</v>
      </c>
      <c r="F443" s="2" t="n">
        <v>1</v>
      </c>
      <c r="G443" s="5" t="n">
        <f aca="false">INDEX(Léky!$H$2:$H$11,MATCH(C443,Léky!$A$2:$A$11,0))</f>
        <v>72</v>
      </c>
      <c r="H443" s="5" t="n">
        <f aca="false">F443*G443</f>
        <v>72</v>
      </c>
    </row>
    <row r="444" customFormat="false" ht="15" hidden="false" customHeight="false" outlineLevel="0" collapsed="false">
      <c r="A444" s="11" t="n">
        <v>45839</v>
      </c>
      <c r="B444" s="2" t="s">
        <v>156</v>
      </c>
      <c r="C444" s="2" t="s">
        <v>53</v>
      </c>
      <c r="D444" s="2" t="str">
        <f aca="false">INDEX(Léky!$B$2:$B$11,MATCH(C444,Léky!$A$2:$A$11,0))</f>
        <v>Ramipril 5 mg</v>
      </c>
      <c r="E444" s="2" t="str">
        <f aca="false">INDEX(Léky!$E$2:$E$11,MATCH(C444,Léky!$A$2:$A$11,0))</f>
        <v>Krevní tlak</v>
      </c>
      <c r="F444" s="2" t="n">
        <v>1</v>
      </c>
      <c r="G444" s="5" t="n">
        <f aca="false">INDEX(Léky!$H$2:$H$11,MATCH(C444,Léky!$A$2:$A$11,0))</f>
        <v>98</v>
      </c>
      <c r="H444" s="5" t="n">
        <f aca="false">F444*G444</f>
        <v>98</v>
      </c>
    </row>
    <row r="445" customFormat="false" ht="15" hidden="false" customHeight="false" outlineLevel="0" collapsed="false">
      <c r="A445" s="11" t="n">
        <v>45839</v>
      </c>
      <c r="B445" s="2" t="s">
        <v>156</v>
      </c>
      <c r="C445" s="2" t="s">
        <v>63</v>
      </c>
      <c r="D445" s="2" t="str">
        <f aca="false">INDEX(Léky!$B$2:$B$11,MATCH(C445,Léky!$A$2:$A$11,0))</f>
        <v>Omeprazol 20 mg</v>
      </c>
      <c r="E445" s="2" t="str">
        <f aca="false">INDEX(Léky!$E$2:$E$11,MATCH(C445,Léky!$A$2:$A$11,0))</f>
        <v>Trávení</v>
      </c>
      <c r="F445" s="2" t="n">
        <v>1</v>
      </c>
      <c r="G445" s="5" t="n">
        <f aca="false">INDEX(Léky!$H$2:$H$11,MATCH(C445,Léky!$A$2:$A$11,0))</f>
        <v>135</v>
      </c>
      <c r="H445" s="5" t="n">
        <f aca="false">F445*G445</f>
        <v>135</v>
      </c>
    </row>
    <row r="446" customFormat="false" ht="15" hidden="false" customHeight="false" outlineLevel="0" collapsed="false">
      <c r="A446" s="11" t="n">
        <v>45839</v>
      </c>
      <c r="B446" s="2" t="s">
        <v>157</v>
      </c>
      <c r="C446" s="2" t="s">
        <v>42</v>
      </c>
      <c r="D446" s="2" t="str">
        <f aca="false">INDEX(Léky!$B$2:$B$11,MATCH(C446,Léky!$A$2:$A$11,0))</f>
        <v>Atorvastatin 20 mg</v>
      </c>
      <c r="E446" s="2" t="str">
        <f aca="false">INDEX(Léky!$E$2:$E$11,MATCH(C446,Léky!$A$2:$A$11,0))</f>
        <v>Cholesterol</v>
      </c>
      <c r="F446" s="2" t="n">
        <v>1</v>
      </c>
      <c r="G446" s="5" t="n">
        <f aca="false">INDEX(Léky!$H$2:$H$11,MATCH(C446,Léky!$A$2:$A$11,0))</f>
        <v>145</v>
      </c>
      <c r="H446" s="5" t="n">
        <f aca="false">F446*G446</f>
        <v>145</v>
      </c>
    </row>
    <row r="447" customFormat="false" ht="15" hidden="false" customHeight="false" outlineLevel="0" collapsed="false">
      <c r="A447" s="11" t="n">
        <v>45839</v>
      </c>
      <c r="B447" s="2" t="s">
        <v>157</v>
      </c>
      <c r="C447" s="2" t="s">
        <v>48</v>
      </c>
      <c r="D447" s="2" t="str">
        <f aca="false">INDEX(Léky!$B$2:$B$11,MATCH(C447,Léky!$A$2:$A$11,0))</f>
        <v>Amlodipin 5 mg</v>
      </c>
      <c r="E447" s="2" t="str">
        <f aca="false">INDEX(Léky!$E$2:$E$11,MATCH(C447,Léky!$A$2:$A$11,0))</f>
        <v>Krevní tlak</v>
      </c>
      <c r="F447" s="2" t="n">
        <v>1</v>
      </c>
      <c r="G447" s="5" t="n">
        <f aca="false">INDEX(Léky!$H$2:$H$11,MATCH(C447,Léky!$A$2:$A$11,0))</f>
        <v>72</v>
      </c>
      <c r="H447" s="5" t="n">
        <f aca="false">F447*G447</f>
        <v>72</v>
      </c>
    </row>
    <row r="448" customFormat="false" ht="15" hidden="false" customHeight="false" outlineLevel="0" collapsed="false">
      <c r="A448" s="11" t="n">
        <v>45839</v>
      </c>
      <c r="B448" s="2" t="s">
        <v>157</v>
      </c>
      <c r="C448" s="2" t="s">
        <v>57</v>
      </c>
      <c r="D448" s="2" t="str">
        <f aca="false">INDEX(Léky!$B$2:$B$11,MATCH(C448,Léky!$A$2:$A$11,0))</f>
        <v>Levothyroxin 50 µg</v>
      </c>
      <c r="E448" s="2" t="str">
        <f aca="false">INDEX(Léky!$E$2:$E$11,MATCH(C448,Léky!$A$2:$A$11,0))</f>
        <v>Štítná žláza</v>
      </c>
      <c r="F448" s="2" t="n">
        <v>1</v>
      </c>
      <c r="G448" s="5" t="n">
        <f aca="false">INDEX(Léky!$H$2:$H$11,MATCH(C448,Léky!$A$2:$A$11,0))</f>
        <v>118</v>
      </c>
      <c r="H448" s="5" t="n">
        <f aca="false">F448*G448</f>
        <v>118</v>
      </c>
    </row>
    <row r="449" customFormat="false" ht="15" hidden="false" customHeight="false" outlineLevel="0" collapsed="false">
      <c r="A449" s="11" t="n">
        <v>45839</v>
      </c>
      <c r="B449" s="2" t="s">
        <v>159</v>
      </c>
      <c r="C449" s="2" t="s">
        <v>57</v>
      </c>
      <c r="D449" s="2" t="str">
        <f aca="false">INDEX(Léky!$B$2:$B$11,MATCH(C449,Léky!$A$2:$A$11,0))</f>
        <v>Levothyroxin 50 µg</v>
      </c>
      <c r="E449" s="2" t="str">
        <f aca="false">INDEX(Léky!$E$2:$E$11,MATCH(C449,Léky!$A$2:$A$11,0))</f>
        <v>Štítná žláza</v>
      </c>
      <c r="F449" s="2" t="n">
        <v>1</v>
      </c>
      <c r="G449" s="5" t="n">
        <f aca="false">INDEX(Léky!$H$2:$H$11,MATCH(C449,Léky!$A$2:$A$11,0))</f>
        <v>118</v>
      </c>
      <c r="H449" s="5" t="n">
        <f aca="false">F449*G449</f>
        <v>118</v>
      </c>
    </row>
    <row r="450" customFormat="false" ht="15" hidden="false" customHeight="false" outlineLevel="0" collapsed="false">
      <c r="A450" s="11" t="n">
        <v>45839</v>
      </c>
      <c r="B450" s="2" t="s">
        <v>160</v>
      </c>
      <c r="C450" s="2" t="s">
        <v>48</v>
      </c>
      <c r="D450" s="2" t="str">
        <f aca="false">INDEX(Léky!$B$2:$B$11,MATCH(C450,Léky!$A$2:$A$11,0))</f>
        <v>Amlodipin 5 mg</v>
      </c>
      <c r="E450" s="2" t="str">
        <f aca="false">INDEX(Léky!$E$2:$E$11,MATCH(C450,Léky!$A$2:$A$11,0))</f>
        <v>Krevní tlak</v>
      </c>
      <c r="F450" s="2" t="n">
        <v>1</v>
      </c>
      <c r="G450" s="5" t="n">
        <f aca="false">INDEX(Léky!$H$2:$H$11,MATCH(C450,Léky!$A$2:$A$11,0))</f>
        <v>72</v>
      </c>
      <c r="H450" s="5" t="n">
        <f aca="false">F450*G450</f>
        <v>72</v>
      </c>
    </row>
    <row r="451" customFormat="false" ht="15" hidden="false" customHeight="false" outlineLevel="0" collapsed="false">
      <c r="A451" s="11" t="n">
        <v>45839</v>
      </c>
      <c r="B451" s="2" t="s">
        <v>160</v>
      </c>
      <c r="C451" s="2" t="s">
        <v>57</v>
      </c>
      <c r="D451" s="2" t="str">
        <f aca="false">INDEX(Léky!$B$2:$B$11,MATCH(C451,Léky!$A$2:$A$11,0))</f>
        <v>Levothyroxin 50 µg</v>
      </c>
      <c r="E451" s="2" t="str">
        <f aca="false">INDEX(Léky!$E$2:$E$11,MATCH(C451,Léky!$A$2:$A$11,0))</f>
        <v>Štítná žláza</v>
      </c>
      <c r="F451" s="2" t="n">
        <v>1</v>
      </c>
      <c r="G451" s="5" t="n">
        <f aca="false">INDEX(Léky!$H$2:$H$11,MATCH(C451,Léky!$A$2:$A$11,0))</f>
        <v>118</v>
      </c>
      <c r="H451" s="5" t="n">
        <f aca="false">F451*G451</f>
        <v>118</v>
      </c>
    </row>
    <row r="452" customFormat="false" ht="15" hidden="false" customHeight="false" outlineLevel="0" collapsed="false">
      <c r="A452" s="11" t="n">
        <v>45839</v>
      </c>
      <c r="B452" s="2" t="s">
        <v>161</v>
      </c>
      <c r="C452" s="2" t="s">
        <v>34</v>
      </c>
      <c r="D452" s="2" t="str">
        <f aca="false">INDEX(Léky!$B$2:$B$11,MATCH(C452,Léky!$A$2:$A$11,0))</f>
        <v>Metformin 500 mg</v>
      </c>
      <c r="E452" s="2" t="str">
        <f aca="false">INDEX(Léky!$E$2:$E$11,MATCH(C452,Léky!$A$2:$A$11,0))</f>
        <v>Diabetes</v>
      </c>
      <c r="F452" s="2" t="n">
        <v>2</v>
      </c>
      <c r="G452" s="5" t="n">
        <f aca="false">INDEX(Léky!$H$2:$H$11,MATCH(C452,Léky!$A$2:$A$11,0))</f>
        <v>89</v>
      </c>
      <c r="H452" s="5" t="n">
        <f aca="false">F452*G452</f>
        <v>178</v>
      </c>
    </row>
    <row r="453" customFormat="false" ht="15" hidden="false" customHeight="false" outlineLevel="0" collapsed="false">
      <c r="A453" s="11" t="n">
        <v>45839</v>
      </c>
      <c r="B453" s="2" t="s">
        <v>161</v>
      </c>
      <c r="C453" s="2" t="s">
        <v>53</v>
      </c>
      <c r="D453" s="2" t="str">
        <f aca="false">INDEX(Léky!$B$2:$B$11,MATCH(C453,Léky!$A$2:$A$11,0))</f>
        <v>Ramipril 5 mg</v>
      </c>
      <c r="E453" s="2" t="str">
        <f aca="false">INDEX(Léky!$E$2:$E$11,MATCH(C453,Léky!$A$2:$A$11,0))</f>
        <v>Krevní tlak</v>
      </c>
      <c r="F453" s="2" t="n">
        <v>1</v>
      </c>
      <c r="G453" s="5" t="n">
        <f aca="false">INDEX(Léky!$H$2:$H$11,MATCH(C453,Léky!$A$2:$A$11,0))</f>
        <v>98</v>
      </c>
      <c r="H453" s="5" t="n">
        <f aca="false">F453*G453</f>
        <v>98</v>
      </c>
    </row>
    <row r="454" customFormat="false" ht="15" hidden="false" customHeight="false" outlineLevel="0" collapsed="false">
      <c r="A454" s="11" t="n">
        <v>45839</v>
      </c>
      <c r="B454" s="2" t="s">
        <v>161</v>
      </c>
      <c r="C454" s="2" t="s">
        <v>91</v>
      </c>
      <c r="D454" s="2" t="str">
        <f aca="false">INDEX(Léky!$B$2:$B$11,MATCH(C454,Léky!$A$2:$A$11,0))</f>
        <v>Ibuprofen 400 mg</v>
      </c>
      <c r="E454" s="2" t="str">
        <f aca="false">INDEX(Léky!$E$2:$E$11,MATCH(C454,Léky!$A$2:$A$11,0))</f>
        <v>Bolest</v>
      </c>
      <c r="F454" s="2" t="n">
        <v>2</v>
      </c>
      <c r="G454" s="5" t="n">
        <f aca="false">INDEX(Léky!$H$2:$H$11,MATCH(C454,Léky!$A$2:$A$11,0))</f>
        <v>65</v>
      </c>
      <c r="H454" s="5" t="n">
        <f aca="false">F454*G454</f>
        <v>130</v>
      </c>
    </row>
    <row r="455" customFormat="false" ht="15" hidden="false" customHeight="false" outlineLevel="0" collapsed="false">
      <c r="A455" s="11" t="n">
        <v>45839</v>
      </c>
      <c r="B455" s="2" t="s">
        <v>162</v>
      </c>
      <c r="C455" s="2" t="s">
        <v>42</v>
      </c>
      <c r="D455" s="2" t="str">
        <f aca="false">INDEX(Léky!$B$2:$B$11,MATCH(C455,Léky!$A$2:$A$11,0))</f>
        <v>Atorvastatin 20 mg</v>
      </c>
      <c r="E455" s="2" t="str">
        <f aca="false">INDEX(Léky!$E$2:$E$11,MATCH(C455,Léky!$A$2:$A$11,0))</f>
        <v>Cholesterol</v>
      </c>
      <c r="F455" s="2" t="n">
        <v>1</v>
      </c>
      <c r="G455" s="5" t="n">
        <f aca="false">INDEX(Léky!$H$2:$H$11,MATCH(C455,Léky!$A$2:$A$11,0))</f>
        <v>145</v>
      </c>
      <c r="H455" s="5" t="n">
        <f aca="false">F455*G455</f>
        <v>145</v>
      </c>
    </row>
    <row r="456" customFormat="false" ht="15" hidden="false" customHeight="false" outlineLevel="0" collapsed="false">
      <c r="A456" s="11" t="n">
        <v>45839</v>
      </c>
      <c r="B456" s="2" t="s">
        <v>163</v>
      </c>
      <c r="C456" s="2" t="s">
        <v>63</v>
      </c>
      <c r="D456" s="2" t="str">
        <f aca="false">INDEX(Léky!$B$2:$B$11,MATCH(C456,Léky!$A$2:$A$11,0))</f>
        <v>Omeprazol 20 mg</v>
      </c>
      <c r="E456" s="2" t="str">
        <f aca="false">INDEX(Léky!$E$2:$E$11,MATCH(C456,Léky!$A$2:$A$11,0))</f>
        <v>Trávení</v>
      </c>
      <c r="F456" s="2" t="n">
        <v>1</v>
      </c>
      <c r="G456" s="5" t="n">
        <f aca="false">INDEX(Léky!$H$2:$H$11,MATCH(C456,Léky!$A$2:$A$11,0))</f>
        <v>135</v>
      </c>
      <c r="H456" s="5" t="n">
        <f aca="false">F456*G456</f>
        <v>135</v>
      </c>
    </row>
    <row r="457" customFormat="false" ht="15" hidden="false" customHeight="false" outlineLevel="0" collapsed="false">
      <c r="A457" s="11" t="n">
        <v>45839</v>
      </c>
      <c r="B457" s="2" t="s">
        <v>166</v>
      </c>
      <c r="C457" s="2" t="s">
        <v>57</v>
      </c>
      <c r="D457" s="2" t="str">
        <f aca="false">INDEX(Léky!$B$2:$B$11,MATCH(C457,Léky!$A$2:$A$11,0))</f>
        <v>Levothyroxin 50 µg</v>
      </c>
      <c r="E457" s="2" t="str">
        <f aca="false">INDEX(Léky!$E$2:$E$11,MATCH(C457,Léky!$A$2:$A$11,0))</f>
        <v>Štítná žláza</v>
      </c>
      <c r="F457" s="2" t="n">
        <v>1</v>
      </c>
      <c r="G457" s="5" t="n">
        <f aca="false">INDEX(Léky!$H$2:$H$11,MATCH(C457,Léky!$A$2:$A$11,0))</f>
        <v>118</v>
      </c>
      <c r="H457" s="5" t="n">
        <f aca="false">F457*G457</f>
        <v>118</v>
      </c>
    </row>
    <row r="458" customFormat="false" ht="15" hidden="false" customHeight="false" outlineLevel="0" collapsed="false">
      <c r="A458" s="11" t="n">
        <v>45839</v>
      </c>
      <c r="B458" s="2" t="s">
        <v>167</v>
      </c>
      <c r="C458" s="2" t="s">
        <v>53</v>
      </c>
      <c r="D458" s="2" t="str">
        <f aca="false">INDEX(Léky!$B$2:$B$11,MATCH(C458,Léky!$A$2:$A$11,0))</f>
        <v>Ramipril 5 mg</v>
      </c>
      <c r="E458" s="2" t="str">
        <f aca="false">INDEX(Léky!$E$2:$E$11,MATCH(C458,Léky!$A$2:$A$11,0))</f>
        <v>Krevní tlak</v>
      </c>
      <c r="F458" s="2" t="n">
        <v>1</v>
      </c>
      <c r="G458" s="5" t="n">
        <f aca="false">INDEX(Léky!$H$2:$H$11,MATCH(C458,Léky!$A$2:$A$11,0))</f>
        <v>98</v>
      </c>
      <c r="H458" s="5" t="n">
        <f aca="false">F458*G458</f>
        <v>98</v>
      </c>
    </row>
    <row r="459" customFormat="false" ht="15" hidden="false" customHeight="false" outlineLevel="0" collapsed="false">
      <c r="A459" s="11" t="n">
        <v>45839</v>
      </c>
      <c r="B459" s="2" t="s">
        <v>168</v>
      </c>
      <c r="C459" s="2" t="s">
        <v>34</v>
      </c>
      <c r="D459" s="2" t="str">
        <f aca="false">INDEX(Léky!$B$2:$B$11,MATCH(C459,Léky!$A$2:$A$11,0))</f>
        <v>Metformin 500 mg</v>
      </c>
      <c r="E459" s="2" t="str">
        <f aca="false">INDEX(Léky!$E$2:$E$11,MATCH(C459,Léky!$A$2:$A$11,0))</f>
        <v>Diabetes</v>
      </c>
      <c r="F459" s="2" t="n">
        <v>1</v>
      </c>
      <c r="G459" s="5" t="n">
        <f aca="false">INDEX(Léky!$H$2:$H$11,MATCH(C459,Léky!$A$2:$A$11,0))</f>
        <v>89</v>
      </c>
      <c r="H459" s="5" t="n">
        <f aca="false">F459*G459</f>
        <v>89</v>
      </c>
    </row>
    <row r="460" customFormat="false" ht="15" hidden="false" customHeight="false" outlineLevel="0" collapsed="false">
      <c r="A460" s="11" t="n">
        <v>45839</v>
      </c>
      <c r="B460" s="2" t="s">
        <v>168</v>
      </c>
      <c r="C460" s="2" t="s">
        <v>84</v>
      </c>
      <c r="D460" s="2" t="str">
        <f aca="false">INDEX(Léky!$B$2:$B$11,MATCH(C460,Léky!$A$2:$A$11,0))</f>
        <v>Amoxicilin 500 mg</v>
      </c>
      <c r="E460" s="2" t="str">
        <f aca="false">INDEX(Léky!$E$2:$E$11,MATCH(C460,Léky!$A$2:$A$11,0))</f>
        <v>Antibiotika</v>
      </c>
      <c r="F460" s="2" t="n">
        <v>1</v>
      </c>
      <c r="G460" s="5" t="n">
        <f aca="false">INDEX(Léky!$H$2:$H$11,MATCH(C460,Léky!$A$2:$A$11,0))</f>
        <v>120</v>
      </c>
      <c r="H460" s="5" t="n">
        <f aca="false">F460*G460</f>
        <v>120</v>
      </c>
    </row>
    <row r="461" customFormat="false" ht="15" hidden="false" customHeight="false" outlineLevel="0" collapsed="false">
      <c r="A461" s="11" t="n">
        <v>45839</v>
      </c>
      <c r="B461" s="2" t="s">
        <v>169</v>
      </c>
      <c r="C461" s="2" t="s">
        <v>63</v>
      </c>
      <c r="D461" s="2" t="str">
        <f aca="false">INDEX(Léky!$B$2:$B$11,MATCH(C461,Léky!$A$2:$A$11,0))</f>
        <v>Omeprazol 20 mg</v>
      </c>
      <c r="E461" s="2" t="str">
        <f aca="false">INDEX(Léky!$E$2:$E$11,MATCH(C461,Léky!$A$2:$A$11,0))</f>
        <v>Trávení</v>
      </c>
      <c r="F461" s="2" t="n">
        <v>1</v>
      </c>
      <c r="G461" s="5" t="n">
        <f aca="false">INDEX(Léky!$H$2:$H$11,MATCH(C461,Léky!$A$2:$A$11,0))</f>
        <v>135</v>
      </c>
      <c r="H461" s="5" t="n">
        <f aca="false">F461*G461</f>
        <v>135</v>
      </c>
    </row>
    <row r="462" customFormat="false" ht="15" hidden="false" customHeight="false" outlineLevel="0" collapsed="false">
      <c r="A462" s="11" t="n">
        <v>45839</v>
      </c>
      <c r="B462" s="2" t="s">
        <v>170</v>
      </c>
      <c r="C462" s="2" t="s">
        <v>63</v>
      </c>
      <c r="D462" s="2" t="str">
        <f aca="false">INDEX(Léky!$B$2:$B$11,MATCH(C462,Léky!$A$2:$A$11,0))</f>
        <v>Omeprazol 20 mg</v>
      </c>
      <c r="E462" s="2" t="str">
        <f aca="false">INDEX(Léky!$E$2:$E$11,MATCH(C462,Léky!$A$2:$A$11,0))</f>
        <v>Trávení</v>
      </c>
      <c r="F462" s="2" t="n">
        <v>1</v>
      </c>
      <c r="G462" s="5" t="n">
        <f aca="false">INDEX(Léky!$H$2:$H$11,MATCH(C462,Léky!$A$2:$A$11,0))</f>
        <v>135</v>
      </c>
      <c r="H462" s="5" t="n">
        <f aca="false">F462*G462</f>
        <v>135</v>
      </c>
    </row>
    <row r="463" customFormat="false" ht="15" hidden="false" customHeight="false" outlineLevel="0" collapsed="false">
      <c r="A463" s="11" t="n">
        <v>45839</v>
      </c>
      <c r="B463" s="2" t="s">
        <v>171</v>
      </c>
      <c r="C463" s="2" t="s">
        <v>34</v>
      </c>
      <c r="D463" s="2" t="str">
        <f aca="false">INDEX(Léky!$B$2:$B$11,MATCH(C463,Léky!$A$2:$A$11,0))</f>
        <v>Metformin 500 mg</v>
      </c>
      <c r="E463" s="2" t="str">
        <f aca="false">INDEX(Léky!$E$2:$E$11,MATCH(C463,Léky!$A$2:$A$11,0))</f>
        <v>Diabetes</v>
      </c>
      <c r="F463" s="2" t="n">
        <v>1</v>
      </c>
      <c r="G463" s="5" t="n">
        <f aca="false">INDEX(Léky!$H$2:$H$11,MATCH(C463,Léky!$A$2:$A$11,0))</f>
        <v>89</v>
      </c>
      <c r="H463" s="5" t="n">
        <f aca="false">F463*G463</f>
        <v>89</v>
      </c>
    </row>
    <row r="464" customFormat="false" ht="15" hidden="false" customHeight="false" outlineLevel="0" collapsed="false">
      <c r="A464" s="11" t="n">
        <v>45839</v>
      </c>
      <c r="B464" s="2" t="s">
        <v>171</v>
      </c>
      <c r="C464" s="2" t="s">
        <v>48</v>
      </c>
      <c r="D464" s="2" t="str">
        <f aca="false">INDEX(Léky!$B$2:$B$11,MATCH(C464,Léky!$A$2:$A$11,0))</f>
        <v>Amlodipin 5 mg</v>
      </c>
      <c r="E464" s="2" t="str">
        <f aca="false">INDEX(Léky!$E$2:$E$11,MATCH(C464,Léky!$A$2:$A$11,0))</f>
        <v>Krevní tlak</v>
      </c>
      <c r="F464" s="2" t="n">
        <v>1</v>
      </c>
      <c r="G464" s="5" t="n">
        <f aca="false">INDEX(Léky!$H$2:$H$11,MATCH(C464,Léky!$A$2:$A$11,0))</f>
        <v>72</v>
      </c>
      <c r="H464" s="5" t="n">
        <f aca="false">F464*G464</f>
        <v>72</v>
      </c>
    </row>
    <row r="465" customFormat="false" ht="15" hidden="false" customHeight="false" outlineLevel="0" collapsed="false">
      <c r="A465" s="11" t="n">
        <v>45839</v>
      </c>
      <c r="B465" s="2" t="s">
        <v>171</v>
      </c>
      <c r="C465" s="2" t="s">
        <v>57</v>
      </c>
      <c r="D465" s="2" t="str">
        <f aca="false">INDEX(Léky!$B$2:$B$11,MATCH(C465,Léky!$A$2:$A$11,0))</f>
        <v>Levothyroxin 50 µg</v>
      </c>
      <c r="E465" s="2" t="str">
        <f aca="false">INDEX(Léky!$E$2:$E$11,MATCH(C465,Léky!$A$2:$A$11,0))</f>
        <v>Štítná žláza</v>
      </c>
      <c r="F465" s="2" t="n">
        <v>1</v>
      </c>
      <c r="G465" s="5" t="n">
        <f aca="false">INDEX(Léky!$H$2:$H$11,MATCH(C465,Léky!$A$2:$A$11,0))</f>
        <v>118</v>
      </c>
      <c r="H465" s="5" t="n">
        <f aca="false">F465*G465</f>
        <v>118</v>
      </c>
    </row>
    <row r="466" customFormat="false" ht="15" hidden="false" customHeight="false" outlineLevel="0" collapsed="false">
      <c r="A466" s="11" t="n">
        <v>45839</v>
      </c>
      <c r="B466" s="2" t="s">
        <v>171</v>
      </c>
      <c r="C466" s="2" t="s">
        <v>91</v>
      </c>
      <c r="D466" s="2" t="str">
        <f aca="false">INDEX(Léky!$B$2:$B$11,MATCH(C466,Léky!$A$2:$A$11,0))</f>
        <v>Ibuprofen 400 mg</v>
      </c>
      <c r="E466" s="2" t="str">
        <f aca="false">INDEX(Léky!$E$2:$E$11,MATCH(C466,Léky!$A$2:$A$11,0))</f>
        <v>Bolest</v>
      </c>
      <c r="F466" s="2" t="n">
        <v>1</v>
      </c>
      <c r="G466" s="5" t="n">
        <f aca="false">INDEX(Léky!$H$2:$H$11,MATCH(C466,Léky!$A$2:$A$11,0))</f>
        <v>65</v>
      </c>
      <c r="H466" s="5" t="n">
        <f aca="false">F466*G466</f>
        <v>65</v>
      </c>
    </row>
    <row r="467" customFormat="false" ht="15" hidden="false" customHeight="false" outlineLevel="0" collapsed="false">
      <c r="A467" s="11" t="n">
        <v>45839</v>
      </c>
      <c r="B467" s="2" t="s">
        <v>173</v>
      </c>
      <c r="C467" s="2" t="s">
        <v>53</v>
      </c>
      <c r="D467" s="2" t="str">
        <f aca="false">INDEX(Léky!$B$2:$B$11,MATCH(C467,Léky!$A$2:$A$11,0))</f>
        <v>Ramipril 5 mg</v>
      </c>
      <c r="E467" s="2" t="str">
        <f aca="false">INDEX(Léky!$E$2:$E$11,MATCH(C467,Léky!$A$2:$A$11,0))</f>
        <v>Krevní tlak</v>
      </c>
      <c r="F467" s="2" t="n">
        <v>1</v>
      </c>
      <c r="G467" s="5" t="n">
        <f aca="false">INDEX(Léky!$H$2:$H$11,MATCH(C467,Léky!$A$2:$A$11,0))</f>
        <v>98</v>
      </c>
      <c r="H467" s="5" t="n">
        <f aca="false">F467*G467</f>
        <v>98</v>
      </c>
    </row>
    <row r="468" customFormat="false" ht="15" hidden="false" customHeight="false" outlineLevel="0" collapsed="false">
      <c r="A468" s="11" t="n">
        <v>45839</v>
      </c>
      <c r="B468" s="2" t="s">
        <v>174</v>
      </c>
      <c r="C468" s="2" t="s">
        <v>53</v>
      </c>
      <c r="D468" s="2" t="str">
        <f aca="false">INDEX(Léky!$B$2:$B$11,MATCH(C468,Léky!$A$2:$A$11,0))</f>
        <v>Ramipril 5 mg</v>
      </c>
      <c r="E468" s="2" t="str">
        <f aca="false">INDEX(Léky!$E$2:$E$11,MATCH(C468,Léky!$A$2:$A$11,0))</f>
        <v>Krevní tlak</v>
      </c>
      <c r="F468" s="2" t="n">
        <v>1</v>
      </c>
      <c r="G468" s="5" t="n">
        <f aca="false">INDEX(Léky!$H$2:$H$11,MATCH(C468,Léky!$A$2:$A$11,0))</f>
        <v>98</v>
      </c>
      <c r="H468" s="5" t="n">
        <f aca="false">F468*G468</f>
        <v>98</v>
      </c>
    </row>
    <row r="469" customFormat="false" ht="15" hidden="false" customHeight="false" outlineLevel="0" collapsed="false">
      <c r="A469" s="11" t="n">
        <v>45839</v>
      </c>
      <c r="B469" s="2" t="s">
        <v>175</v>
      </c>
      <c r="C469" s="2" t="s">
        <v>63</v>
      </c>
      <c r="D469" s="2" t="str">
        <f aca="false">INDEX(Léky!$B$2:$B$11,MATCH(C469,Léky!$A$2:$A$11,0))</f>
        <v>Omeprazol 20 mg</v>
      </c>
      <c r="E469" s="2" t="str">
        <f aca="false">INDEX(Léky!$E$2:$E$11,MATCH(C469,Léky!$A$2:$A$11,0))</f>
        <v>Trávení</v>
      </c>
      <c r="F469" s="2" t="n">
        <v>1</v>
      </c>
      <c r="G469" s="5" t="n">
        <f aca="false">INDEX(Léky!$H$2:$H$11,MATCH(C469,Léky!$A$2:$A$11,0))</f>
        <v>135</v>
      </c>
      <c r="H469" s="5" t="n">
        <f aca="false">F469*G469</f>
        <v>135</v>
      </c>
    </row>
    <row r="470" customFormat="false" ht="15" hidden="false" customHeight="false" outlineLevel="0" collapsed="false">
      <c r="A470" s="11" t="n">
        <v>45870</v>
      </c>
      <c r="B470" s="2" t="s">
        <v>110</v>
      </c>
      <c r="C470" s="2" t="s">
        <v>63</v>
      </c>
      <c r="D470" s="2" t="str">
        <f aca="false">INDEX(Léky!$B$2:$B$11,MATCH(C470,Léky!$A$2:$A$11,0))</f>
        <v>Omeprazol 20 mg</v>
      </c>
      <c r="E470" s="2" t="str">
        <f aca="false">INDEX(Léky!$E$2:$E$11,MATCH(C470,Léky!$A$2:$A$11,0))</f>
        <v>Trávení</v>
      </c>
      <c r="F470" s="2" t="n">
        <v>1</v>
      </c>
      <c r="G470" s="5" t="n">
        <f aca="false">INDEX(Léky!$H$2:$H$11,MATCH(C470,Léky!$A$2:$A$11,0))</f>
        <v>135</v>
      </c>
      <c r="H470" s="5" t="n">
        <f aca="false">F470*G470</f>
        <v>135</v>
      </c>
    </row>
    <row r="471" customFormat="false" ht="15" hidden="false" customHeight="false" outlineLevel="0" collapsed="false">
      <c r="A471" s="11" t="n">
        <v>45870</v>
      </c>
      <c r="B471" s="2" t="s">
        <v>110</v>
      </c>
      <c r="C471" s="2" t="s">
        <v>91</v>
      </c>
      <c r="D471" s="2" t="str">
        <f aca="false">INDEX(Léky!$B$2:$B$11,MATCH(C471,Léky!$A$2:$A$11,0))</f>
        <v>Ibuprofen 400 mg</v>
      </c>
      <c r="E471" s="2" t="str">
        <f aca="false">INDEX(Léky!$E$2:$E$11,MATCH(C471,Léky!$A$2:$A$11,0))</f>
        <v>Bolest</v>
      </c>
      <c r="F471" s="2" t="n">
        <v>1</v>
      </c>
      <c r="G471" s="5" t="n">
        <f aca="false">INDEX(Léky!$H$2:$H$11,MATCH(C471,Léky!$A$2:$A$11,0))</f>
        <v>65</v>
      </c>
      <c r="H471" s="5" t="n">
        <f aca="false">F471*G471</f>
        <v>65</v>
      </c>
    </row>
    <row r="472" customFormat="false" ht="15" hidden="false" customHeight="false" outlineLevel="0" collapsed="false">
      <c r="A472" s="11" t="n">
        <v>45870</v>
      </c>
      <c r="B472" s="2" t="s">
        <v>114</v>
      </c>
      <c r="C472" s="2" t="s">
        <v>53</v>
      </c>
      <c r="D472" s="2" t="str">
        <f aca="false">INDEX(Léky!$B$2:$B$11,MATCH(C472,Léky!$A$2:$A$11,0))</f>
        <v>Ramipril 5 mg</v>
      </c>
      <c r="E472" s="2" t="str">
        <f aca="false">INDEX(Léky!$E$2:$E$11,MATCH(C472,Léky!$A$2:$A$11,0))</f>
        <v>Krevní tlak</v>
      </c>
      <c r="F472" s="2" t="n">
        <v>1</v>
      </c>
      <c r="G472" s="5" t="n">
        <f aca="false">INDEX(Léky!$H$2:$H$11,MATCH(C472,Léky!$A$2:$A$11,0))</f>
        <v>98</v>
      </c>
      <c r="H472" s="5" t="n">
        <f aca="false">F472*G472</f>
        <v>98</v>
      </c>
    </row>
    <row r="473" customFormat="false" ht="15" hidden="false" customHeight="false" outlineLevel="0" collapsed="false">
      <c r="A473" s="11" t="n">
        <v>45870</v>
      </c>
      <c r="B473" s="2" t="s">
        <v>118</v>
      </c>
      <c r="C473" s="2" t="s">
        <v>48</v>
      </c>
      <c r="D473" s="2" t="str">
        <f aca="false">INDEX(Léky!$B$2:$B$11,MATCH(C473,Léky!$A$2:$A$11,0))</f>
        <v>Amlodipin 5 mg</v>
      </c>
      <c r="E473" s="2" t="str">
        <f aca="false">INDEX(Léky!$E$2:$E$11,MATCH(C473,Léky!$A$2:$A$11,0))</f>
        <v>Krevní tlak</v>
      </c>
      <c r="F473" s="2" t="n">
        <v>1</v>
      </c>
      <c r="G473" s="5" t="n">
        <f aca="false">INDEX(Léky!$H$2:$H$11,MATCH(C473,Léky!$A$2:$A$11,0))</f>
        <v>72</v>
      </c>
      <c r="H473" s="5" t="n">
        <f aca="false">F473*G473</f>
        <v>72</v>
      </c>
    </row>
    <row r="474" customFormat="false" ht="15" hidden="false" customHeight="false" outlineLevel="0" collapsed="false">
      <c r="A474" s="11" t="n">
        <v>45870</v>
      </c>
      <c r="B474" s="2" t="s">
        <v>119</v>
      </c>
      <c r="C474" s="2" t="s">
        <v>70</v>
      </c>
      <c r="D474" s="2" t="str">
        <f aca="false">INDEX(Léky!$B$2:$B$11,MATCH(C474,Léky!$A$2:$A$11,0))</f>
        <v>Sertralin 50 mg</v>
      </c>
      <c r="E474" s="2" t="str">
        <f aca="false">INDEX(Léky!$E$2:$E$11,MATCH(C474,Léky!$A$2:$A$11,0))</f>
        <v>Psychiatrie</v>
      </c>
      <c r="F474" s="2" t="n">
        <v>1</v>
      </c>
      <c r="G474" s="5" t="n">
        <f aca="false">INDEX(Léky!$H$2:$H$11,MATCH(C474,Léky!$A$2:$A$11,0))</f>
        <v>210</v>
      </c>
      <c r="H474" s="5" t="n">
        <f aca="false">F474*G474</f>
        <v>210</v>
      </c>
    </row>
    <row r="475" customFormat="false" ht="15" hidden="false" customHeight="false" outlineLevel="0" collapsed="false">
      <c r="A475" s="11" t="n">
        <v>45870</v>
      </c>
      <c r="B475" s="2" t="s">
        <v>124</v>
      </c>
      <c r="C475" s="2" t="s">
        <v>48</v>
      </c>
      <c r="D475" s="2" t="str">
        <f aca="false">INDEX(Léky!$B$2:$B$11,MATCH(C475,Léky!$A$2:$A$11,0))</f>
        <v>Amlodipin 5 mg</v>
      </c>
      <c r="E475" s="2" t="str">
        <f aca="false">INDEX(Léky!$E$2:$E$11,MATCH(C475,Léky!$A$2:$A$11,0))</f>
        <v>Krevní tlak</v>
      </c>
      <c r="F475" s="2" t="n">
        <v>1</v>
      </c>
      <c r="G475" s="5" t="n">
        <f aca="false">INDEX(Léky!$H$2:$H$11,MATCH(C475,Léky!$A$2:$A$11,0))</f>
        <v>72</v>
      </c>
      <c r="H475" s="5" t="n">
        <f aca="false">F475*G475</f>
        <v>72</v>
      </c>
    </row>
    <row r="476" customFormat="false" ht="15" hidden="false" customHeight="false" outlineLevel="0" collapsed="false">
      <c r="A476" s="11" t="n">
        <v>45870</v>
      </c>
      <c r="B476" s="2" t="s">
        <v>125</v>
      </c>
      <c r="C476" s="2" t="s">
        <v>70</v>
      </c>
      <c r="D476" s="2" t="str">
        <f aca="false">INDEX(Léky!$B$2:$B$11,MATCH(C476,Léky!$A$2:$A$11,0))</f>
        <v>Sertralin 50 mg</v>
      </c>
      <c r="E476" s="2" t="str">
        <f aca="false">INDEX(Léky!$E$2:$E$11,MATCH(C476,Léky!$A$2:$A$11,0))</f>
        <v>Psychiatrie</v>
      </c>
      <c r="F476" s="2" t="n">
        <v>1</v>
      </c>
      <c r="G476" s="5" t="n">
        <f aca="false">INDEX(Léky!$H$2:$H$11,MATCH(C476,Léky!$A$2:$A$11,0))</f>
        <v>210</v>
      </c>
      <c r="H476" s="5" t="n">
        <f aca="false">F476*G476</f>
        <v>210</v>
      </c>
    </row>
    <row r="477" customFormat="false" ht="15" hidden="false" customHeight="false" outlineLevel="0" collapsed="false">
      <c r="A477" s="11" t="n">
        <v>45870</v>
      </c>
      <c r="B477" s="2" t="s">
        <v>128</v>
      </c>
      <c r="C477" s="2" t="s">
        <v>53</v>
      </c>
      <c r="D477" s="2" t="str">
        <f aca="false">INDEX(Léky!$B$2:$B$11,MATCH(C477,Léky!$A$2:$A$11,0))</f>
        <v>Ramipril 5 mg</v>
      </c>
      <c r="E477" s="2" t="str">
        <f aca="false">INDEX(Léky!$E$2:$E$11,MATCH(C477,Léky!$A$2:$A$11,0))</f>
        <v>Krevní tlak</v>
      </c>
      <c r="F477" s="2" t="n">
        <v>1</v>
      </c>
      <c r="G477" s="5" t="n">
        <f aca="false">INDEX(Léky!$H$2:$H$11,MATCH(C477,Léky!$A$2:$A$11,0))</f>
        <v>98</v>
      </c>
      <c r="H477" s="5" t="n">
        <f aca="false">F477*G477</f>
        <v>98</v>
      </c>
    </row>
    <row r="478" customFormat="false" ht="15" hidden="false" customHeight="false" outlineLevel="0" collapsed="false">
      <c r="A478" s="11" t="n">
        <v>45870</v>
      </c>
      <c r="B478" s="2" t="s">
        <v>128</v>
      </c>
      <c r="C478" s="2" t="s">
        <v>91</v>
      </c>
      <c r="D478" s="2" t="str">
        <f aca="false">INDEX(Léky!$B$2:$B$11,MATCH(C478,Léky!$A$2:$A$11,0))</f>
        <v>Ibuprofen 400 mg</v>
      </c>
      <c r="E478" s="2" t="str">
        <f aca="false">INDEX(Léky!$E$2:$E$11,MATCH(C478,Léky!$A$2:$A$11,0))</f>
        <v>Bolest</v>
      </c>
      <c r="F478" s="2" t="n">
        <v>1</v>
      </c>
      <c r="G478" s="5" t="n">
        <f aca="false">INDEX(Léky!$H$2:$H$11,MATCH(C478,Léky!$A$2:$A$11,0))</f>
        <v>65</v>
      </c>
      <c r="H478" s="5" t="n">
        <f aca="false">F478*G478</f>
        <v>65</v>
      </c>
    </row>
    <row r="479" customFormat="false" ht="15" hidden="false" customHeight="false" outlineLevel="0" collapsed="false">
      <c r="A479" s="11" t="n">
        <v>45870</v>
      </c>
      <c r="B479" s="2" t="s">
        <v>129</v>
      </c>
      <c r="C479" s="2" t="s">
        <v>34</v>
      </c>
      <c r="D479" s="2" t="str">
        <f aca="false">INDEX(Léky!$B$2:$B$11,MATCH(C479,Léky!$A$2:$A$11,0))</f>
        <v>Metformin 500 mg</v>
      </c>
      <c r="E479" s="2" t="str">
        <f aca="false">INDEX(Léky!$E$2:$E$11,MATCH(C479,Léky!$A$2:$A$11,0))</f>
        <v>Diabetes</v>
      </c>
      <c r="F479" s="2" t="n">
        <v>2</v>
      </c>
      <c r="G479" s="5" t="n">
        <f aca="false">INDEX(Léky!$H$2:$H$11,MATCH(C479,Léky!$A$2:$A$11,0))</f>
        <v>89</v>
      </c>
      <c r="H479" s="5" t="n">
        <f aca="false">F479*G479</f>
        <v>178</v>
      </c>
    </row>
    <row r="480" customFormat="false" ht="15" hidden="false" customHeight="false" outlineLevel="0" collapsed="false">
      <c r="A480" s="11" t="n">
        <v>45870</v>
      </c>
      <c r="B480" s="2" t="s">
        <v>129</v>
      </c>
      <c r="C480" s="2" t="s">
        <v>70</v>
      </c>
      <c r="D480" s="2" t="str">
        <f aca="false">INDEX(Léky!$B$2:$B$11,MATCH(C480,Léky!$A$2:$A$11,0))</f>
        <v>Sertralin 50 mg</v>
      </c>
      <c r="E480" s="2" t="str">
        <f aca="false">INDEX(Léky!$E$2:$E$11,MATCH(C480,Léky!$A$2:$A$11,0))</f>
        <v>Psychiatrie</v>
      </c>
      <c r="F480" s="2" t="n">
        <v>1</v>
      </c>
      <c r="G480" s="5" t="n">
        <f aca="false">INDEX(Léky!$H$2:$H$11,MATCH(C480,Léky!$A$2:$A$11,0))</f>
        <v>210</v>
      </c>
      <c r="H480" s="5" t="n">
        <f aca="false">F480*G480</f>
        <v>210</v>
      </c>
    </row>
    <row r="481" customFormat="false" ht="15" hidden="false" customHeight="false" outlineLevel="0" collapsed="false">
      <c r="A481" s="11" t="n">
        <v>45870</v>
      </c>
      <c r="B481" s="2" t="s">
        <v>130</v>
      </c>
      <c r="C481" s="2" t="s">
        <v>57</v>
      </c>
      <c r="D481" s="2" t="str">
        <f aca="false">INDEX(Léky!$B$2:$B$11,MATCH(C481,Léky!$A$2:$A$11,0))</f>
        <v>Levothyroxin 50 µg</v>
      </c>
      <c r="E481" s="2" t="str">
        <f aca="false">INDEX(Léky!$E$2:$E$11,MATCH(C481,Léky!$A$2:$A$11,0))</f>
        <v>Štítná žláza</v>
      </c>
      <c r="F481" s="2" t="n">
        <v>1</v>
      </c>
      <c r="G481" s="5" t="n">
        <f aca="false">INDEX(Léky!$H$2:$H$11,MATCH(C481,Léky!$A$2:$A$11,0))</f>
        <v>118</v>
      </c>
      <c r="H481" s="5" t="n">
        <f aca="false">F481*G481</f>
        <v>118</v>
      </c>
    </row>
    <row r="482" customFormat="false" ht="15" hidden="false" customHeight="false" outlineLevel="0" collapsed="false">
      <c r="A482" s="11" t="n">
        <v>45870</v>
      </c>
      <c r="B482" s="2" t="s">
        <v>131</v>
      </c>
      <c r="C482" s="2" t="s">
        <v>34</v>
      </c>
      <c r="D482" s="2" t="str">
        <f aca="false">INDEX(Léky!$B$2:$B$11,MATCH(C482,Léky!$A$2:$A$11,0))</f>
        <v>Metformin 500 mg</v>
      </c>
      <c r="E482" s="2" t="str">
        <f aca="false">INDEX(Léky!$E$2:$E$11,MATCH(C482,Léky!$A$2:$A$11,0))</f>
        <v>Diabetes</v>
      </c>
      <c r="F482" s="2" t="n">
        <v>1</v>
      </c>
      <c r="G482" s="5" t="n">
        <f aca="false">INDEX(Léky!$H$2:$H$11,MATCH(C482,Léky!$A$2:$A$11,0))</f>
        <v>89</v>
      </c>
      <c r="H482" s="5" t="n">
        <f aca="false">F482*G482</f>
        <v>89</v>
      </c>
    </row>
    <row r="483" customFormat="false" ht="15" hidden="false" customHeight="false" outlineLevel="0" collapsed="false">
      <c r="A483" s="11" t="n">
        <v>45870</v>
      </c>
      <c r="B483" s="2" t="s">
        <v>131</v>
      </c>
      <c r="C483" s="2" t="s">
        <v>53</v>
      </c>
      <c r="D483" s="2" t="str">
        <f aca="false">INDEX(Léky!$B$2:$B$11,MATCH(C483,Léky!$A$2:$A$11,0))</f>
        <v>Ramipril 5 mg</v>
      </c>
      <c r="E483" s="2" t="str">
        <f aca="false">INDEX(Léky!$E$2:$E$11,MATCH(C483,Léky!$A$2:$A$11,0))</f>
        <v>Krevní tlak</v>
      </c>
      <c r="F483" s="2" t="n">
        <v>1</v>
      </c>
      <c r="G483" s="5" t="n">
        <f aca="false">INDEX(Léky!$H$2:$H$11,MATCH(C483,Léky!$A$2:$A$11,0))</f>
        <v>98</v>
      </c>
      <c r="H483" s="5" t="n">
        <f aca="false">F483*G483</f>
        <v>98</v>
      </c>
    </row>
    <row r="484" customFormat="false" ht="15" hidden="false" customHeight="false" outlineLevel="0" collapsed="false">
      <c r="A484" s="11" t="n">
        <v>45870</v>
      </c>
      <c r="B484" s="2" t="s">
        <v>131</v>
      </c>
      <c r="C484" s="2" t="s">
        <v>63</v>
      </c>
      <c r="D484" s="2" t="str">
        <f aca="false">INDEX(Léky!$B$2:$B$11,MATCH(C484,Léky!$A$2:$A$11,0))</f>
        <v>Omeprazol 20 mg</v>
      </c>
      <c r="E484" s="2" t="str">
        <f aca="false">INDEX(Léky!$E$2:$E$11,MATCH(C484,Léky!$A$2:$A$11,0))</f>
        <v>Trávení</v>
      </c>
      <c r="F484" s="2" t="n">
        <v>1</v>
      </c>
      <c r="G484" s="5" t="n">
        <f aca="false">INDEX(Léky!$H$2:$H$11,MATCH(C484,Léky!$A$2:$A$11,0))</f>
        <v>135</v>
      </c>
      <c r="H484" s="5" t="n">
        <f aca="false">F484*G484</f>
        <v>135</v>
      </c>
    </row>
    <row r="485" customFormat="false" ht="15" hidden="false" customHeight="false" outlineLevel="0" collapsed="false">
      <c r="A485" s="11" t="n">
        <v>45870</v>
      </c>
      <c r="B485" s="2" t="s">
        <v>133</v>
      </c>
      <c r="C485" s="2" t="s">
        <v>48</v>
      </c>
      <c r="D485" s="2" t="str">
        <f aca="false">INDEX(Léky!$B$2:$B$11,MATCH(C485,Léky!$A$2:$A$11,0))</f>
        <v>Amlodipin 5 mg</v>
      </c>
      <c r="E485" s="2" t="str">
        <f aca="false">INDEX(Léky!$E$2:$E$11,MATCH(C485,Léky!$A$2:$A$11,0))</f>
        <v>Krevní tlak</v>
      </c>
      <c r="F485" s="2" t="n">
        <v>1</v>
      </c>
      <c r="G485" s="5" t="n">
        <f aca="false">INDEX(Léky!$H$2:$H$11,MATCH(C485,Léky!$A$2:$A$11,0))</f>
        <v>72</v>
      </c>
      <c r="H485" s="5" t="n">
        <f aca="false">F485*G485</f>
        <v>72</v>
      </c>
    </row>
    <row r="486" customFormat="false" ht="15" hidden="false" customHeight="false" outlineLevel="0" collapsed="false">
      <c r="A486" s="11" t="n">
        <v>45870</v>
      </c>
      <c r="B486" s="2" t="s">
        <v>133</v>
      </c>
      <c r="C486" s="2" t="s">
        <v>70</v>
      </c>
      <c r="D486" s="2" t="str">
        <f aca="false">INDEX(Léky!$B$2:$B$11,MATCH(C486,Léky!$A$2:$A$11,0))</f>
        <v>Sertralin 50 mg</v>
      </c>
      <c r="E486" s="2" t="str">
        <f aca="false">INDEX(Léky!$E$2:$E$11,MATCH(C486,Léky!$A$2:$A$11,0))</f>
        <v>Psychiatrie</v>
      </c>
      <c r="F486" s="2" t="n">
        <v>1</v>
      </c>
      <c r="G486" s="5" t="n">
        <f aca="false">INDEX(Léky!$H$2:$H$11,MATCH(C486,Léky!$A$2:$A$11,0))</f>
        <v>210</v>
      </c>
      <c r="H486" s="5" t="n">
        <f aca="false">F486*G486</f>
        <v>210</v>
      </c>
    </row>
    <row r="487" customFormat="false" ht="15" hidden="false" customHeight="false" outlineLevel="0" collapsed="false">
      <c r="A487" s="11" t="n">
        <v>45870</v>
      </c>
      <c r="B487" s="2" t="s">
        <v>134</v>
      </c>
      <c r="C487" s="2" t="s">
        <v>53</v>
      </c>
      <c r="D487" s="2" t="str">
        <f aca="false">INDEX(Léky!$B$2:$B$11,MATCH(C487,Léky!$A$2:$A$11,0))</f>
        <v>Ramipril 5 mg</v>
      </c>
      <c r="E487" s="2" t="str">
        <f aca="false">INDEX(Léky!$E$2:$E$11,MATCH(C487,Léky!$A$2:$A$11,0))</f>
        <v>Krevní tlak</v>
      </c>
      <c r="F487" s="2" t="n">
        <v>1</v>
      </c>
      <c r="G487" s="5" t="n">
        <f aca="false">INDEX(Léky!$H$2:$H$11,MATCH(C487,Léky!$A$2:$A$11,0))</f>
        <v>98</v>
      </c>
      <c r="H487" s="5" t="n">
        <f aca="false">F487*G487</f>
        <v>98</v>
      </c>
    </row>
    <row r="488" customFormat="false" ht="15" hidden="false" customHeight="false" outlineLevel="0" collapsed="false">
      <c r="A488" s="11" t="n">
        <v>45870</v>
      </c>
      <c r="B488" s="2" t="s">
        <v>135</v>
      </c>
      <c r="C488" s="2" t="s">
        <v>63</v>
      </c>
      <c r="D488" s="2" t="str">
        <f aca="false">INDEX(Léky!$B$2:$B$11,MATCH(C488,Léky!$A$2:$A$11,0))</f>
        <v>Omeprazol 20 mg</v>
      </c>
      <c r="E488" s="2" t="str">
        <f aca="false">INDEX(Léky!$E$2:$E$11,MATCH(C488,Léky!$A$2:$A$11,0))</f>
        <v>Trávení</v>
      </c>
      <c r="F488" s="2" t="n">
        <v>1</v>
      </c>
      <c r="G488" s="5" t="n">
        <f aca="false">INDEX(Léky!$H$2:$H$11,MATCH(C488,Léky!$A$2:$A$11,0))</f>
        <v>135</v>
      </c>
      <c r="H488" s="5" t="n">
        <f aca="false">F488*G488</f>
        <v>135</v>
      </c>
    </row>
    <row r="489" customFormat="false" ht="15" hidden="false" customHeight="false" outlineLevel="0" collapsed="false">
      <c r="A489" s="11" t="n">
        <v>45870</v>
      </c>
      <c r="B489" s="2" t="s">
        <v>136</v>
      </c>
      <c r="C489" s="2" t="s">
        <v>34</v>
      </c>
      <c r="D489" s="2" t="str">
        <f aca="false">INDEX(Léky!$B$2:$B$11,MATCH(C489,Léky!$A$2:$A$11,0))</f>
        <v>Metformin 500 mg</v>
      </c>
      <c r="E489" s="2" t="str">
        <f aca="false">INDEX(Léky!$E$2:$E$11,MATCH(C489,Léky!$A$2:$A$11,0))</f>
        <v>Diabetes</v>
      </c>
      <c r="F489" s="2" t="n">
        <v>2</v>
      </c>
      <c r="G489" s="5" t="n">
        <f aca="false">INDEX(Léky!$H$2:$H$11,MATCH(C489,Léky!$A$2:$A$11,0))</f>
        <v>89</v>
      </c>
      <c r="H489" s="5" t="n">
        <f aca="false">F489*G489</f>
        <v>178</v>
      </c>
    </row>
    <row r="490" customFormat="false" ht="15" hidden="false" customHeight="false" outlineLevel="0" collapsed="false">
      <c r="A490" s="11" t="n">
        <v>45870</v>
      </c>
      <c r="B490" s="2" t="s">
        <v>136</v>
      </c>
      <c r="C490" s="2" t="s">
        <v>91</v>
      </c>
      <c r="D490" s="2" t="str">
        <f aca="false">INDEX(Léky!$B$2:$B$11,MATCH(C490,Léky!$A$2:$A$11,0))</f>
        <v>Ibuprofen 400 mg</v>
      </c>
      <c r="E490" s="2" t="str">
        <f aca="false">INDEX(Léky!$E$2:$E$11,MATCH(C490,Léky!$A$2:$A$11,0))</f>
        <v>Bolest</v>
      </c>
      <c r="F490" s="2" t="n">
        <v>1</v>
      </c>
      <c r="G490" s="5" t="n">
        <f aca="false">INDEX(Léky!$H$2:$H$11,MATCH(C490,Léky!$A$2:$A$11,0))</f>
        <v>65</v>
      </c>
      <c r="H490" s="5" t="n">
        <f aca="false">F490*G490</f>
        <v>65</v>
      </c>
    </row>
    <row r="491" customFormat="false" ht="15" hidden="false" customHeight="false" outlineLevel="0" collapsed="false">
      <c r="A491" s="11" t="n">
        <v>45870</v>
      </c>
      <c r="B491" s="2" t="s">
        <v>137</v>
      </c>
      <c r="C491" s="2" t="s">
        <v>70</v>
      </c>
      <c r="D491" s="2" t="str">
        <f aca="false">INDEX(Léky!$B$2:$B$11,MATCH(C491,Léky!$A$2:$A$11,0))</f>
        <v>Sertralin 50 mg</v>
      </c>
      <c r="E491" s="2" t="str">
        <f aca="false">INDEX(Léky!$E$2:$E$11,MATCH(C491,Léky!$A$2:$A$11,0))</f>
        <v>Psychiatrie</v>
      </c>
      <c r="F491" s="2" t="n">
        <v>1</v>
      </c>
      <c r="G491" s="5" t="n">
        <f aca="false">INDEX(Léky!$H$2:$H$11,MATCH(C491,Léky!$A$2:$A$11,0))</f>
        <v>210</v>
      </c>
      <c r="H491" s="5" t="n">
        <f aca="false">F491*G491</f>
        <v>210</v>
      </c>
    </row>
    <row r="492" customFormat="false" ht="15" hidden="false" customHeight="false" outlineLevel="0" collapsed="false">
      <c r="A492" s="11" t="n">
        <v>45870</v>
      </c>
      <c r="B492" s="2" t="s">
        <v>138</v>
      </c>
      <c r="C492" s="2" t="s">
        <v>48</v>
      </c>
      <c r="D492" s="2" t="str">
        <f aca="false">INDEX(Léky!$B$2:$B$11,MATCH(C492,Léky!$A$2:$A$11,0))</f>
        <v>Amlodipin 5 mg</v>
      </c>
      <c r="E492" s="2" t="str">
        <f aca="false">INDEX(Léky!$E$2:$E$11,MATCH(C492,Léky!$A$2:$A$11,0))</f>
        <v>Krevní tlak</v>
      </c>
      <c r="F492" s="2" t="n">
        <v>1</v>
      </c>
      <c r="G492" s="5" t="n">
        <f aca="false">INDEX(Léky!$H$2:$H$11,MATCH(C492,Léky!$A$2:$A$11,0))</f>
        <v>72</v>
      </c>
      <c r="H492" s="5" t="n">
        <f aca="false">F492*G492</f>
        <v>72</v>
      </c>
    </row>
    <row r="493" customFormat="false" ht="15" hidden="false" customHeight="false" outlineLevel="0" collapsed="false">
      <c r="A493" s="11" t="n">
        <v>45870</v>
      </c>
      <c r="B493" s="2" t="s">
        <v>138</v>
      </c>
      <c r="C493" s="2" t="s">
        <v>57</v>
      </c>
      <c r="D493" s="2" t="str">
        <f aca="false">INDEX(Léky!$B$2:$B$11,MATCH(C493,Léky!$A$2:$A$11,0))</f>
        <v>Levothyroxin 50 µg</v>
      </c>
      <c r="E493" s="2" t="str">
        <f aca="false">INDEX(Léky!$E$2:$E$11,MATCH(C493,Léky!$A$2:$A$11,0))</f>
        <v>Štítná žláza</v>
      </c>
      <c r="F493" s="2" t="n">
        <v>1</v>
      </c>
      <c r="G493" s="5" t="n">
        <f aca="false">INDEX(Léky!$H$2:$H$11,MATCH(C493,Léky!$A$2:$A$11,0))</f>
        <v>118</v>
      </c>
      <c r="H493" s="5" t="n">
        <f aca="false">F493*G493</f>
        <v>118</v>
      </c>
    </row>
    <row r="494" customFormat="false" ht="15" hidden="false" customHeight="false" outlineLevel="0" collapsed="false">
      <c r="A494" s="11" t="n">
        <v>45870</v>
      </c>
      <c r="B494" s="2" t="s">
        <v>138</v>
      </c>
      <c r="C494" s="2" t="s">
        <v>63</v>
      </c>
      <c r="D494" s="2" t="str">
        <f aca="false">INDEX(Léky!$B$2:$B$11,MATCH(C494,Léky!$A$2:$A$11,0))</f>
        <v>Omeprazol 20 mg</v>
      </c>
      <c r="E494" s="2" t="str">
        <f aca="false">INDEX(Léky!$E$2:$E$11,MATCH(C494,Léky!$A$2:$A$11,0))</f>
        <v>Trávení</v>
      </c>
      <c r="F494" s="2" t="n">
        <v>1</v>
      </c>
      <c r="G494" s="5" t="n">
        <f aca="false">INDEX(Léky!$H$2:$H$11,MATCH(C494,Léky!$A$2:$A$11,0))</f>
        <v>135</v>
      </c>
      <c r="H494" s="5" t="n">
        <f aca="false">F494*G494</f>
        <v>135</v>
      </c>
    </row>
    <row r="495" customFormat="false" ht="15" hidden="false" customHeight="false" outlineLevel="0" collapsed="false">
      <c r="A495" s="11" t="n">
        <v>45870</v>
      </c>
      <c r="B495" s="2" t="s">
        <v>140</v>
      </c>
      <c r="C495" s="2" t="s">
        <v>42</v>
      </c>
      <c r="D495" s="2" t="str">
        <f aca="false">INDEX(Léky!$B$2:$B$11,MATCH(C495,Léky!$A$2:$A$11,0))</f>
        <v>Atorvastatin 20 mg</v>
      </c>
      <c r="E495" s="2" t="str">
        <f aca="false">INDEX(Léky!$E$2:$E$11,MATCH(C495,Léky!$A$2:$A$11,0))</f>
        <v>Cholesterol</v>
      </c>
      <c r="F495" s="2" t="n">
        <v>1</v>
      </c>
      <c r="G495" s="5" t="n">
        <f aca="false">INDEX(Léky!$H$2:$H$11,MATCH(C495,Léky!$A$2:$A$11,0))</f>
        <v>145</v>
      </c>
      <c r="H495" s="5" t="n">
        <f aca="false">F495*G495</f>
        <v>145</v>
      </c>
    </row>
    <row r="496" customFormat="false" ht="15" hidden="false" customHeight="false" outlineLevel="0" collapsed="false">
      <c r="A496" s="11" t="n">
        <v>45870</v>
      </c>
      <c r="B496" s="2" t="s">
        <v>140</v>
      </c>
      <c r="C496" s="2" t="s">
        <v>48</v>
      </c>
      <c r="D496" s="2" t="str">
        <f aca="false">INDEX(Léky!$B$2:$B$11,MATCH(C496,Léky!$A$2:$A$11,0))</f>
        <v>Amlodipin 5 mg</v>
      </c>
      <c r="E496" s="2" t="str">
        <f aca="false">INDEX(Léky!$E$2:$E$11,MATCH(C496,Léky!$A$2:$A$11,0))</f>
        <v>Krevní tlak</v>
      </c>
      <c r="F496" s="2" t="n">
        <v>1</v>
      </c>
      <c r="G496" s="5" t="n">
        <f aca="false">INDEX(Léky!$H$2:$H$11,MATCH(C496,Léky!$A$2:$A$11,0))</f>
        <v>72</v>
      </c>
      <c r="H496" s="5" t="n">
        <f aca="false">F496*G496</f>
        <v>72</v>
      </c>
    </row>
    <row r="497" customFormat="false" ht="15" hidden="false" customHeight="false" outlineLevel="0" collapsed="false">
      <c r="A497" s="11" t="n">
        <v>45870</v>
      </c>
      <c r="B497" s="2" t="s">
        <v>140</v>
      </c>
      <c r="C497" s="2" t="s">
        <v>57</v>
      </c>
      <c r="D497" s="2" t="str">
        <f aca="false">INDEX(Léky!$B$2:$B$11,MATCH(C497,Léky!$A$2:$A$11,0))</f>
        <v>Levothyroxin 50 µg</v>
      </c>
      <c r="E497" s="2" t="str">
        <f aca="false">INDEX(Léky!$E$2:$E$11,MATCH(C497,Léky!$A$2:$A$11,0))</f>
        <v>Štítná žláza</v>
      </c>
      <c r="F497" s="2" t="n">
        <v>1</v>
      </c>
      <c r="G497" s="5" t="n">
        <f aca="false">INDEX(Léky!$H$2:$H$11,MATCH(C497,Léky!$A$2:$A$11,0))</f>
        <v>118</v>
      </c>
      <c r="H497" s="5" t="n">
        <f aca="false">F497*G497</f>
        <v>118</v>
      </c>
    </row>
    <row r="498" customFormat="false" ht="15" hidden="false" customHeight="false" outlineLevel="0" collapsed="false">
      <c r="A498" s="11" t="n">
        <v>45870</v>
      </c>
      <c r="B498" s="2" t="s">
        <v>141</v>
      </c>
      <c r="C498" s="2" t="s">
        <v>53</v>
      </c>
      <c r="D498" s="2" t="str">
        <f aca="false">INDEX(Léky!$B$2:$B$11,MATCH(C498,Léky!$A$2:$A$11,0))</f>
        <v>Ramipril 5 mg</v>
      </c>
      <c r="E498" s="2" t="str">
        <f aca="false">INDEX(Léky!$E$2:$E$11,MATCH(C498,Léky!$A$2:$A$11,0))</f>
        <v>Krevní tlak</v>
      </c>
      <c r="F498" s="2" t="n">
        <v>1</v>
      </c>
      <c r="G498" s="5" t="n">
        <f aca="false">INDEX(Léky!$H$2:$H$11,MATCH(C498,Léky!$A$2:$A$11,0))</f>
        <v>98</v>
      </c>
      <c r="H498" s="5" t="n">
        <f aca="false">F498*G498</f>
        <v>98</v>
      </c>
    </row>
    <row r="499" customFormat="false" ht="15" hidden="false" customHeight="false" outlineLevel="0" collapsed="false">
      <c r="A499" s="11" t="n">
        <v>45870</v>
      </c>
      <c r="B499" s="2" t="s">
        <v>142</v>
      </c>
      <c r="C499" s="2" t="s">
        <v>48</v>
      </c>
      <c r="D499" s="2" t="str">
        <f aca="false">INDEX(Léky!$B$2:$B$11,MATCH(C499,Léky!$A$2:$A$11,0))</f>
        <v>Amlodipin 5 mg</v>
      </c>
      <c r="E499" s="2" t="str">
        <f aca="false">INDEX(Léky!$E$2:$E$11,MATCH(C499,Léky!$A$2:$A$11,0))</f>
        <v>Krevní tlak</v>
      </c>
      <c r="F499" s="2" t="n">
        <v>1</v>
      </c>
      <c r="G499" s="5" t="n">
        <f aca="false">INDEX(Léky!$H$2:$H$11,MATCH(C499,Léky!$A$2:$A$11,0))</f>
        <v>72</v>
      </c>
      <c r="H499" s="5" t="n">
        <f aca="false">F499*G499</f>
        <v>72</v>
      </c>
    </row>
    <row r="500" customFormat="false" ht="15" hidden="false" customHeight="false" outlineLevel="0" collapsed="false">
      <c r="A500" s="11" t="n">
        <v>45870</v>
      </c>
      <c r="B500" s="2" t="s">
        <v>143</v>
      </c>
      <c r="C500" s="2" t="s">
        <v>91</v>
      </c>
      <c r="D500" s="2" t="str">
        <f aca="false">INDEX(Léky!$B$2:$B$11,MATCH(C500,Léky!$A$2:$A$11,0))</f>
        <v>Ibuprofen 400 mg</v>
      </c>
      <c r="E500" s="2" t="str">
        <f aca="false">INDEX(Léky!$E$2:$E$11,MATCH(C500,Léky!$A$2:$A$11,0))</f>
        <v>Bolest</v>
      </c>
      <c r="F500" s="2" t="n">
        <v>1</v>
      </c>
      <c r="G500" s="5" t="n">
        <f aca="false">INDEX(Léky!$H$2:$H$11,MATCH(C500,Léky!$A$2:$A$11,0))</f>
        <v>65</v>
      </c>
      <c r="H500" s="5" t="n">
        <f aca="false">F500*G500</f>
        <v>65</v>
      </c>
    </row>
    <row r="501" customFormat="false" ht="15" hidden="false" customHeight="false" outlineLevel="0" collapsed="false">
      <c r="A501" s="11" t="n">
        <v>45870</v>
      </c>
      <c r="B501" s="2" t="s">
        <v>144</v>
      </c>
      <c r="C501" s="2" t="s">
        <v>63</v>
      </c>
      <c r="D501" s="2" t="str">
        <f aca="false">INDEX(Léky!$B$2:$B$11,MATCH(C501,Léky!$A$2:$A$11,0))</f>
        <v>Omeprazol 20 mg</v>
      </c>
      <c r="E501" s="2" t="str">
        <f aca="false">INDEX(Léky!$E$2:$E$11,MATCH(C501,Léky!$A$2:$A$11,0))</f>
        <v>Trávení</v>
      </c>
      <c r="F501" s="2" t="n">
        <v>1</v>
      </c>
      <c r="G501" s="5" t="n">
        <f aca="false">INDEX(Léky!$H$2:$H$11,MATCH(C501,Léky!$A$2:$A$11,0))</f>
        <v>135</v>
      </c>
      <c r="H501" s="5" t="n">
        <f aca="false">F501*G501</f>
        <v>135</v>
      </c>
    </row>
    <row r="502" customFormat="false" ht="15" hidden="false" customHeight="false" outlineLevel="0" collapsed="false">
      <c r="A502" s="11" t="n">
        <v>45870</v>
      </c>
      <c r="B502" s="2" t="s">
        <v>145</v>
      </c>
      <c r="C502" s="2" t="s">
        <v>42</v>
      </c>
      <c r="D502" s="2" t="str">
        <f aca="false">INDEX(Léky!$B$2:$B$11,MATCH(C502,Léky!$A$2:$A$11,0))</f>
        <v>Atorvastatin 20 mg</v>
      </c>
      <c r="E502" s="2" t="str">
        <f aca="false">INDEX(Léky!$E$2:$E$11,MATCH(C502,Léky!$A$2:$A$11,0))</f>
        <v>Cholesterol</v>
      </c>
      <c r="F502" s="2" t="n">
        <v>1</v>
      </c>
      <c r="G502" s="5" t="n">
        <f aca="false">INDEX(Léky!$H$2:$H$11,MATCH(C502,Léky!$A$2:$A$11,0))</f>
        <v>145</v>
      </c>
      <c r="H502" s="5" t="n">
        <f aca="false">F502*G502</f>
        <v>145</v>
      </c>
    </row>
    <row r="503" customFormat="false" ht="15" hidden="false" customHeight="false" outlineLevel="0" collapsed="false">
      <c r="A503" s="11" t="n">
        <v>45870</v>
      </c>
      <c r="B503" s="2" t="s">
        <v>145</v>
      </c>
      <c r="C503" s="2" t="s">
        <v>57</v>
      </c>
      <c r="D503" s="2" t="str">
        <f aca="false">INDEX(Léky!$B$2:$B$11,MATCH(C503,Léky!$A$2:$A$11,0))</f>
        <v>Levothyroxin 50 µg</v>
      </c>
      <c r="E503" s="2" t="str">
        <f aca="false">INDEX(Léky!$E$2:$E$11,MATCH(C503,Léky!$A$2:$A$11,0))</f>
        <v>Štítná žláza</v>
      </c>
      <c r="F503" s="2" t="n">
        <v>1</v>
      </c>
      <c r="G503" s="5" t="n">
        <f aca="false">INDEX(Léky!$H$2:$H$11,MATCH(C503,Léky!$A$2:$A$11,0))</f>
        <v>118</v>
      </c>
      <c r="H503" s="5" t="n">
        <f aca="false">F503*G503</f>
        <v>118</v>
      </c>
    </row>
    <row r="504" customFormat="false" ht="15" hidden="false" customHeight="false" outlineLevel="0" collapsed="false">
      <c r="A504" s="11" t="n">
        <v>45870</v>
      </c>
      <c r="B504" s="2" t="s">
        <v>145</v>
      </c>
      <c r="C504" s="2" t="s">
        <v>91</v>
      </c>
      <c r="D504" s="2" t="str">
        <f aca="false">INDEX(Léky!$B$2:$B$11,MATCH(C504,Léky!$A$2:$A$11,0))</f>
        <v>Ibuprofen 400 mg</v>
      </c>
      <c r="E504" s="2" t="str">
        <f aca="false">INDEX(Léky!$E$2:$E$11,MATCH(C504,Léky!$A$2:$A$11,0))</f>
        <v>Bolest</v>
      </c>
      <c r="F504" s="2" t="n">
        <v>2</v>
      </c>
      <c r="G504" s="5" t="n">
        <f aca="false">INDEX(Léky!$H$2:$H$11,MATCH(C504,Léky!$A$2:$A$11,0))</f>
        <v>65</v>
      </c>
      <c r="H504" s="5" t="n">
        <f aca="false">F504*G504</f>
        <v>130</v>
      </c>
    </row>
    <row r="505" customFormat="false" ht="15" hidden="false" customHeight="false" outlineLevel="0" collapsed="false">
      <c r="A505" s="11" t="n">
        <v>45870</v>
      </c>
      <c r="B505" s="2" t="s">
        <v>147</v>
      </c>
      <c r="C505" s="2" t="s">
        <v>34</v>
      </c>
      <c r="D505" s="2" t="str">
        <f aca="false">INDEX(Léky!$B$2:$B$11,MATCH(C505,Léky!$A$2:$A$11,0))</f>
        <v>Metformin 500 mg</v>
      </c>
      <c r="E505" s="2" t="str">
        <f aca="false">INDEX(Léky!$E$2:$E$11,MATCH(C505,Léky!$A$2:$A$11,0))</f>
        <v>Diabetes</v>
      </c>
      <c r="F505" s="2" t="n">
        <v>1</v>
      </c>
      <c r="G505" s="5" t="n">
        <f aca="false">INDEX(Léky!$H$2:$H$11,MATCH(C505,Léky!$A$2:$A$11,0))</f>
        <v>89</v>
      </c>
      <c r="H505" s="5" t="n">
        <f aca="false">F505*G505</f>
        <v>89</v>
      </c>
    </row>
    <row r="506" customFormat="false" ht="15" hidden="false" customHeight="false" outlineLevel="0" collapsed="false">
      <c r="A506" s="11" t="n">
        <v>45870</v>
      </c>
      <c r="B506" s="2" t="s">
        <v>149</v>
      </c>
      <c r="C506" s="2" t="s">
        <v>48</v>
      </c>
      <c r="D506" s="2" t="str">
        <f aca="false">INDEX(Léky!$B$2:$B$11,MATCH(C506,Léky!$A$2:$A$11,0))</f>
        <v>Amlodipin 5 mg</v>
      </c>
      <c r="E506" s="2" t="str">
        <f aca="false">INDEX(Léky!$E$2:$E$11,MATCH(C506,Léky!$A$2:$A$11,0))</f>
        <v>Krevní tlak</v>
      </c>
      <c r="F506" s="2" t="n">
        <v>1</v>
      </c>
      <c r="G506" s="5" t="n">
        <f aca="false">INDEX(Léky!$H$2:$H$11,MATCH(C506,Léky!$A$2:$A$11,0))</f>
        <v>72</v>
      </c>
      <c r="H506" s="5" t="n">
        <f aca="false">F506*G506</f>
        <v>72</v>
      </c>
    </row>
    <row r="507" customFormat="false" ht="15" hidden="false" customHeight="false" outlineLevel="0" collapsed="false">
      <c r="A507" s="11" t="n">
        <v>45870</v>
      </c>
      <c r="B507" s="2" t="s">
        <v>150</v>
      </c>
      <c r="C507" s="2" t="s">
        <v>53</v>
      </c>
      <c r="D507" s="2" t="str">
        <f aca="false">INDEX(Léky!$B$2:$B$11,MATCH(C507,Léky!$A$2:$A$11,0))</f>
        <v>Ramipril 5 mg</v>
      </c>
      <c r="E507" s="2" t="str">
        <f aca="false">INDEX(Léky!$E$2:$E$11,MATCH(C507,Léky!$A$2:$A$11,0))</f>
        <v>Krevní tlak</v>
      </c>
      <c r="F507" s="2" t="n">
        <v>1</v>
      </c>
      <c r="G507" s="5" t="n">
        <f aca="false">INDEX(Léky!$H$2:$H$11,MATCH(C507,Léky!$A$2:$A$11,0))</f>
        <v>98</v>
      </c>
      <c r="H507" s="5" t="n">
        <f aca="false">F507*G507</f>
        <v>98</v>
      </c>
    </row>
    <row r="508" customFormat="false" ht="15" hidden="false" customHeight="false" outlineLevel="0" collapsed="false">
      <c r="A508" s="11" t="n">
        <v>45870</v>
      </c>
      <c r="B508" s="2" t="s">
        <v>150</v>
      </c>
      <c r="C508" s="2" t="s">
        <v>57</v>
      </c>
      <c r="D508" s="2" t="str">
        <f aca="false">INDEX(Léky!$B$2:$B$11,MATCH(C508,Léky!$A$2:$A$11,0))</f>
        <v>Levothyroxin 50 µg</v>
      </c>
      <c r="E508" s="2" t="str">
        <f aca="false">INDEX(Léky!$E$2:$E$11,MATCH(C508,Léky!$A$2:$A$11,0))</f>
        <v>Štítná žláza</v>
      </c>
      <c r="F508" s="2" t="n">
        <v>1</v>
      </c>
      <c r="G508" s="5" t="n">
        <f aca="false">INDEX(Léky!$H$2:$H$11,MATCH(C508,Léky!$A$2:$A$11,0))</f>
        <v>118</v>
      </c>
      <c r="H508" s="5" t="n">
        <f aca="false">F508*G508</f>
        <v>118</v>
      </c>
    </row>
    <row r="509" customFormat="false" ht="15" hidden="false" customHeight="false" outlineLevel="0" collapsed="false">
      <c r="A509" s="11" t="n">
        <v>45870</v>
      </c>
      <c r="B509" s="2" t="s">
        <v>151</v>
      </c>
      <c r="C509" s="2" t="s">
        <v>63</v>
      </c>
      <c r="D509" s="2" t="str">
        <f aca="false">INDEX(Léky!$B$2:$B$11,MATCH(C509,Léky!$A$2:$A$11,0))</f>
        <v>Omeprazol 20 mg</v>
      </c>
      <c r="E509" s="2" t="str">
        <f aca="false">INDEX(Léky!$E$2:$E$11,MATCH(C509,Léky!$A$2:$A$11,0))</f>
        <v>Trávení</v>
      </c>
      <c r="F509" s="2" t="n">
        <v>1</v>
      </c>
      <c r="G509" s="5" t="n">
        <f aca="false">INDEX(Léky!$H$2:$H$11,MATCH(C509,Léky!$A$2:$A$11,0))</f>
        <v>135</v>
      </c>
      <c r="H509" s="5" t="n">
        <f aca="false">F509*G509</f>
        <v>135</v>
      </c>
    </row>
    <row r="510" customFormat="false" ht="15" hidden="false" customHeight="false" outlineLevel="0" collapsed="false">
      <c r="A510" s="11" t="n">
        <v>45870</v>
      </c>
      <c r="B510" s="2" t="s">
        <v>152</v>
      </c>
      <c r="C510" s="2" t="s">
        <v>53</v>
      </c>
      <c r="D510" s="2" t="str">
        <f aca="false">INDEX(Léky!$B$2:$B$11,MATCH(C510,Léky!$A$2:$A$11,0))</f>
        <v>Ramipril 5 mg</v>
      </c>
      <c r="E510" s="2" t="str">
        <f aca="false">INDEX(Léky!$E$2:$E$11,MATCH(C510,Léky!$A$2:$A$11,0))</f>
        <v>Krevní tlak</v>
      </c>
      <c r="F510" s="2" t="n">
        <v>1</v>
      </c>
      <c r="G510" s="5" t="n">
        <f aca="false">INDEX(Léky!$H$2:$H$11,MATCH(C510,Léky!$A$2:$A$11,0))</f>
        <v>98</v>
      </c>
      <c r="H510" s="5" t="n">
        <f aca="false">F510*G510</f>
        <v>98</v>
      </c>
    </row>
    <row r="511" customFormat="false" ht="15" hidden="false" customHeight="false" outlineLevel="0" collapsed="false">
      <c r="A511" s="11" t="n">
        <v>45870</v>
      </c>
      <c r="B511" s="2" t="s">
        <v>154</v>
      </c>
      <c r="C511" s="2" t="s">
        <v>48</v>
      </c>
      <c r="D511" s="2" t="str">
        <f aca="false">INDEX(Léky!$B$2:$B$11,MATCH(C511,Léky!$A$2:$A$11,0))</f>
        <v>Amlodipin 5 mg</v>
      </c>
      <c r="E511" s="2" t="str">
        <f aca="false">INDEX(Léky!$E$2:$E$11,MATCH(C511,Léky!$A$2:$A$11,0))</f>
        <v>Krevní tlak</v>
      </c>
      <c r="F511" s="2" t="n">
        <v>1</v>
      </c>
      <c r="G511" s="5" t="n">
        <f aca="false">INDEX(Léky!$H$2:$H$11,MATCH(C511,Léky!$A$2:$A$11,0))</f>
        <v>72</v>
      </c>
      <c r="H511" s="5" t="n">
        <f aca="false">F511*G511</f>
        <v>72</v>
      </c>
    </row>
    <row r="512" customFormat="false" ht="15" hidden="false" customHeight="false" outlineLevel="0" collapsed="false">
      <c r="A512" s="11" t="n">
        <v>45870</v>
      </c>
      <c r="B512" s="2" t="s">
        <v>155</v>
      </c>
      <c r="C512" s="2" t="s">
        <v>42</v>
      </c>
      <c r="D512" s="2" t="str">
        <f aca="false">INDEX(Léky!$B$2:$B$11,MATCH(C512,Léky!$A$2:$A$11,0))</f>
        <v>Atorvastatin 20 mg</v>
      </c>
      <c r="E512" s="2" t="str">
        <f aca="false">INDEX(Léky!$E$2:$E$11,MATCH(C512,Léky!$A$2:$A$11,0))</f>
        <v>Cholesterol</v>
      </c>
      <c r="F512" s="2" t="n">
        <v>1</v>
      </c>
      <c r="G512" s="5" t="n">
        <f aca="false">INDEX(Léky!$H$2:$H$11,MATCH(C512,Léky!$A$2:$A$11,0))</f>
        <v>145</v>
      </c>
      <c r="H512" s="5" t="n">
        <f aca="false">F512*G512</f>
        <v>145</v>
      </c>
    </row>
    <row r="513" customFormat="false" ht="15" hidden="false" customHeight="false" outlineLevel="0" collapsed="false">
      <c r="A513" s="11" t="n">
        <v>45870</v>
      </c>
      <c r="B513" s="2" t="s">
        <v>155</v>
      </c>
      <c r="C513" s="2" t="s">
        <v>48</v>
      </c>
      <c r="D513" s="2" t="str">
        <f aca="false">INDEX(Léky!$B$2:$B$11,MATCH(C513,Léky!$A$2:$A$11,0))</f>
        <v>Amlodipin 5 mg</v>
      </c>
      <c r="E513" s="2" t="str">
        <f aca="false">INDEX(Léky!$E$2:$E$11,MATCH(C513,Léky!$A$2:$A$11,0))</f>
        <v>Krevní tlak</v>
      </c>
      <c r="F513" s="2" t="n">
        <v>1</v>
      </c>
      <c r="G513" s="5" t="n">
        <f aca="false">INDEX(Léky!$H$2:$H$11,MATCH(C513,Léky!$A$2:$A$11,0))</f>
        <v>72</v>
      </c>
      <c r="H513" s="5" t="n">
        <f aca="false">F513*G513</f>
        <v>72</v>
      </c>
    </row>
    <row r="514" customFormat="false" ht="15" hidden="false" customHeight="false" outlineLevel="0" collapsed="false">
      <c r="A514" s="11" t="n">
        <v>45870</v>
      </c>
      <c r="B514" s="2" t="s">
        <v>156</v>
      </c>
      <c r="C514" s="2" t="s">
        <v>42</v>
      </c>
      <c r="D514" s="2" t="str">
        <f aca="false">INDEX(Léky!$B$2:$B$11,MATCH(C514,Léky!$A$2:$A$11,0))</f>
        <v>Atorvastatin 20 mg</v>
      </c>
      <c r="E514" s="2" t="str">
        <f aca="false">INDEX(Léky!$E$2:$E$11,MATCH(C514,Léky!$A$2:$A$11,0))</f>
        <v>Cholesterol</v>
      </c>
      <c r="F514" s="2" t="n">
        <v>1</v>
      </c>
      <c r="G514" s="5" t="n">
        <f aca="false">INDEX(Léky!$H$2:$H$11,MATCH(C514,Léky!$A$2:$A$11,0))</f>
        <v>145</v>
      </c>
      <c r="H514" s="5" t="n">
        <f aca="false">F514*G514</f>
        <v>145</v>
      </c>
    </row>
    <row r="515" customFormat="false" ht="15" hidden="false" customHeight="false" outlineLevel="0" collapsed="false">
      <c r="A515" s="11" t="n">
        <v>45870</v>
      </c>
      <c r="B515" s="2" t="s">
        <v>156</v>
      </c>
      <c r="C515" s="2" t="s">
        <v>63</v>
      </c>
      <c r="D515" s="2" t="str">
        <f aca="false">INDEX(Léky!$B$2:$B$11,MATCH(C515,Léky!$A$2:$A$11,0))</f>
        <v>Omeprazol 20 mg</v>
      </c>
      <c r="E515" s="2" t="str">
        <f aca="false">INDEX(Léky!$E$2:$E$11,MATCH(C515,Léky!$A$2:$A$11,0))</f>
        <v>Trávení</v>
      </c>
      <c r="F515" s="2" t="n">
        <v>1</v>
      </c>
      <c r="G515" s="5" t="n">
        <f aca="false">INDEX(Léky!$H$2:$H$11,MATCH(C515,Léky!$A$2:$A$11,0))</f>
        <v>135</v>
      </c>
      <c r="H515" s="5" t="n">
        <f aca="false">F515*G515</f>
        <v>135</v>
      </c>
    </row>
    <row r="516" customFormat="false" ht="15" hidden="false" customHeight="false" outlineLevel="0" collapsed="false">
      <c r="A516" s="11" t="n">
        <v>45870</v>
      </c>
      <c r="B516" s="2" t="s">
        <v>157</v>
      </c>
      <c r="C516" s="2" t="s">
        <v>42</v>
      </c>
      <c r="D516" s="2" t="str">
        <f aca="false">INDEX(Léky!$B$2:$B$11,MATCH(C516,Léky!$A$2:$A$11,0))</f>
        <v>Atorvastatin 20 mg</v>
      </c>
      <c r="E516" s="2" t="str">
        <f aca="false">INDEX(Léky!$E$2:$E$11,MATCH(C516,Léky!$A$2:$A$11,0))</f>
        <v>Cholesterol</v>
      </c>
      <c r="F516" s="2" t="n">
        <v>1</v>
      </c>
      <c r="G516" s="5" t="n">
        <f aca="false">INDEX(Léky!$H$2:$H$11,MATCH(C516,Léky!$A$2:$A$11,0))</f>
        <v>145</v>
      </c>
      <c r="H516" s="5" t="n">
        <f aca="false">F516*G516</f>
        <v>145</v>
      </c>
    </row>
    <row r="517" customFormat="false" ht="15" hidden="false" customHeight="false" outlineLevel="0" collapsed="false">
      <c r="A517" s="11" t="n">
        <v>45870</v>
      </c>
      <c r="B517" s="2" t="s">
        <v>157</v>
      </c>
      <c r="C517" s="2" t="s">
        <v>48</v>
      </c>
      <c r="D517" s="2" t="str">
        <f aca="false">INDEX(Léky!$B$2:$B$11,MATCH(C517,Léky!$A$2:$A$11,0))</f>
        <v>Amlodipin 5 mg</v>
      </c>
      <c r="E517" s="2" t="str">
        <f aca="false">INDEX(Léky!$E$2:$E$11,MATCH(C517,Léky!$A$2:$A$11,0))</f>
        <v>Krevní tlak</v>
      </c>
      <c r="F517" s="2" t="n">
        <v>1</v>
      </c>
      <c r="G517" s="5" t="n">
        <f aca="false">INDEX(Léky!$H$2:$H$11,MATCH(C517,Léky!$A$2:$A$11,0))</f>
        <v>72</v>
      </c>
      <c r="H517" s="5" t="n">
        <f aca="false">F517*G517</f>
        <v>72</v>
      </c>
    </row>
    <row r="518" customFormat="false" ht="15" hidden="false" customHeight="false" outlineLevel="0" collapsed="false">
      <c r="A518" s="11" t="n">
        <v>45870</v>
      </c>
      <c r="B518" s="2" t="s">
        <v>157</v>
      </c>
      <c r="C518" s="2" t="s">
        <v>57</v>
      </c>
      <c r="D518" s="2" t="str">
        <f aca="false">INDEX(Léky!$B$2:$B$11,MATCH(C518,Léky!$A$2:$A$11,0))</f>
        <v>Levothyroxin 50 µg</v>
      </c>
      <c r="E518" s="2" t="str">
        <f aca="false">INDEX(Léky!$E$2:$E$11,MATCH(C518,Léky!$A$2:$A$11,0))</f>
        <v>Štítná žláza</v>
      </c>
      <c r="F518" s="2" t="n">
        <v>1</v>
      </c>
      <c r="G518" s="5" t="n">
        <f aca="false">INDEX(Léky!$H$2:$H$11,MATCH(C518,Léky!$A$2:$A$11,0))</f>
        <v>118</v>
      </c>
      <c r="H518" s="5" t="n">
        <f aca="false">F518*G518</f>
        <v>118</v>
      </c>
    </row>
    <row r="519" customFormat="false" ht="15" hidden="false" customHeight="false" outlineLevel="0" collapsed="false">
      <c r="A519" s="11" t="n">
        <v>45870</v>
      </c>
      <c r="B519" s="2" t="s">
        <v>159</v>
      </c>
      <c r="C519" s="2" t="s">
        <v>57</v>
      </c>
      <c r="D519" s="2" t="str">
        <f aca="false">INDEX(Léky!$B$2:$B$11,MATCH(C519,Léky!$A$2:$A$11,0))</f>
        <v>Levothyroxin 50 µg</v>
      </c>
      <c r="E519" s="2" t="str">
        <f aca="false">INDEX(Léky!$E$2:$E$11,MATCH(C519,Léky!$A$2:$A$11,0))</f>
        <v>Štítná žláza</v>
      </c>
      <c r="F519" s="2" t="n">
        <v>1</v>
      </c>
      <c r="G519" s="5" t="n">
        <f aca="false">INDEX(Léky!$H$2:$H$11,MATCH(C519,Léky!$A$2:$A$11,0))</f>
        <v>118</v>
      </c>
      <c r="H519" s="5" t="n">
        <f aca="false">F519*G519</f>
        <v>118</v>
      </c>
    </row>
    <row r="520" customFormat="false" ht="15" hidden="false" customHeight="false" outlineLevel="0" collapsed="false">
      <c r="A520" s="11" t="n">
        <v>45870</v>
      </c>
      <c r="B520" s="2" t="s">
        <v>159</v>
      </c>
      <c r="C520" s="2" t="s">
        <v>76</v>
      </c>
      <c r="D520" s="2" t="str">
        <f aca="false">INDEX(Léky!$B$2:$B$11,MATCH(C520,Léky!$A$2:$A$11,0))</f>
        <v>Salbutamol inhalátor</v>
      </c>
      <c r="E520" s="2" t="str">
        <f aca="false">INDEX(Léky!$E$2:$E$11,MATCH(C520,Léky!$A$2:$A$11,0))</f>
        <v>Dýchací cesty</v>
      </c>
      <c r="F520" s="2" t="n">
        <v>1</v>
      </c>
      <c r="G520" s="5" t="n">
        <f aca="false">INDEX(Léky!$H$2:$H$11,MATCH(C520,Léky!$A$2:$A$11,0))</f>
        <v>165</v>
      </c>
      <c r="H520" s="5" t="n">
        <f aca="false">F520*G520</f>
        <v>165</v>
      </c>
    </row>
    <row r="521" customFormat="false" ht="15" hidden="false" customHeight="false" outlineLevel="0" collapsed="false">
      <c r="A521" s="11" t="n">
        <v>45870</v>
      </c>
      <c r="B521" s="2" t="s">
        <v>160</v>
      </c>
      <c r="C521" s="2" t="s">
        <v>48</v>
      </c>
      <c r="D521" s="2" t="str">
        <f aca="false">INDEX(Léky!$B$2:$B$11,MATCH(C521,Léky!$A$2:$A$11,0))</f>
        <v>Amlodipin 5 mg</v>
      </c>
      <c r="E521" s="2" t="str">
        <f aca="false">INDEX(Léky!$E$2:$E$11,MATCH(C521,Léky!$A$2:$A$11,0))</f>
        <v>Krevní tlak</v>
      </c>
      <c r="F521" s="2" t="n">
        <v>1</v>
      </c>
      <c r="G521" s="5" t="n">
        <f aca="false">INDEX(Léky!$H$2:$H$11,MATCH(C521,Léky!$A$2:$A$11,0))</f>
        <v>72</v>
      </c>
      <c r="H521" s="5" t="n">
        <f aca="false">F521*G521</f>
        <v>72</v>
      </c>
    </row>
    <row r="522" customFormat="false" ht="15" hidden="false" customHeight="false" outlineLevel="0" collapsed="false">
      <c r="A522" s="11" t="n">
        <v>45870</v>
      </c>
      <c r="B522" s="2" t="s">
        <v>160</v>
      </c>
      <c r="C522" s="2" t="s">
        <v>57</v>
      </c>
      <c r="D522" s="2" t="str">
        <f aca="false">INDEX(Léky!$B$2:$B$11,MATCH(C522,Léky!$A$2:$A$11,0))</f>
        <v>Levothyroxin 50 µg</v>
      </c>
      <c r="E522" s="2" t="str">
        <f aca="false">INDEX(Léky!$E$2:$E$11,MATCH(C522,Léky!$A$2:$A$11,0))</f>
        <v>Štítná žláza</v>
      </c>
      <c r="F522" s="2" t="n">
        <v>1</v>
      </c>
      <c r="G522" s="5" t="n">
        <f aca="false">INDEX(Léky!$H$2:$H$11,MATCH(C522,Léky!$A$2:$A$11,0))</f>
        <v>118</v>
      </c>
      <c r="H522" s="5" t="n">
        <f aca="false">F522*G522</f>
        <v>118</v>
      </c>
    </row>
    <row r="523" customFormat="false" ht="15" hidden="false" customHeight="false" outlineLevel="0" collapsed="false">
      <c r="A523" s="11" t="n">
        <v>45870</v>
      </c>
      <c r="B523" s="2" t="s">
        <v>161</v>
      </c>
      <c r="C523" s="2" t="s">
        <v>34</v>
      </c>
      <c r="D523" s="2" t="str">
        <f aca="false">INDEX(Léky!$B$2:$B$11,MATCH(C523,Léky!$A$2:$A$11,0))</f>
        <v>Metformin 500 mg</v>
      </c>
      <c r="E523" s="2" t="str">
        <f aca="false">INDEX(Léky!$E$2:$E$11,MATCH(C523,Léky!$A$2:$A$11,0))</f>
        <v>Diabetes</v>
      </c>
      <c r="F523" s="2" t="n">
        <v>1</v>
      </c>
      <c r="G523" s="5" t="n">
        <f aca="false">INDEX(Léky!$H$2:$H$11,MATCH(C523,Léky!$A$2:$A$11,0))</f>
        <v>89</v>
      </c>
      <c r="H523" s="5" t="n">
        <f aca="false">F523*G523</f>
        <v>89</v>
      </c>
    </row>
    <row r="524" customFormat="false" ht="15" hidden="false" customHeight="false" outlineLevel="0" collapsed="false">
      <c r="A524" s="11" t="n">
        <v>45870</v>
      </c>
      <c r="B524" s="2" t="s">
        <v>161</v>
      </c>
      <c r="C524" s="2" t="s">
        <v>53</v>
      </c>
      <c r="D524" s="2" t="str">
        <f aca="false">INDEX(Léky!$B$2:$B$11,MATCH(C524,Léky!$A$2:$A$11,0))</f>
        <v>Ramipril 5 mg</v>
      </c>
      <c r="E524" s="2" t="str">
        <f aca="false">INDEX(Léky!$E$2:$E$11,MATCH(C524,Léky!$A$2:$A$11,0))</f>
        <v>Krevní tlak</v>
      </c>
      <c r="F524" s="2" t="n">
        <v>1</v>
      </c>
      <c r="G524" s="5" t="n">
        <f aca="false">INDEX(Léky!$H$2:$H$11,MATCH(C524,Léky!$A$2:$A$11,0))</f>
        <v>98</v>
      </c>
      <c r="H524" s="5" t="n">
        <f aca="false">F524*G524</f>
        <v>98</v>
      </c>
    </row>
    <row r="525" customFormat="false" ht="15" hidden="false" customHeight="false" outlineLevel="0" collapsed="false">
      <c r="A525" s="11" t="n">
        <v>45870</v>
      </c>
      <c r="B525" s="2" t="s">
        <v>161</v>
      </c>
      <c r="C525" s="2" t="s">
        <v>57</v>
      </c>
      <c r="D525" s="2" t="str">
        <f aca="false">INDEX(Léky!$B$2:$B$11,MATCH(C525,Léky!$A$2:$A$11,0))</f>
        <v>Levothyroxin 50 µg</v>
      </c>
      <c r="E525" s="2" t="str">
        <f aca="false">INDEX(Léky!$E$2:$E$11,MATCH(C525,Léky!$A$2:$A$11,0))</f>
        <v>Štítná žláza</v>
      </c>
      <c r="F525" s="2" t="n">
        <v>1</v>
      </c>
      <c r="G525" s="5" t="n">
        <f aca="false">INDEX(Léky!$H$2:$H$11,MATCH(C525,Léky!$A$2:$A$11,0))</f>
        <v>118</v>
      </c>
      <c r="H525" s="5" t="n">
        <f aca="false">F525*G525</f>
        <v>118</v>
      </c>
    </row>
    <row r="526" customFormat="false" ht="15" hidden="false" customHeight="false" outlineLevel="0" collapsed="false">
      <c r="A526" s="11" t="n">
        <v>45870</v>
      </c>
      <c r="B526" s="2" t="s">
        <v>163</v>
      </c>
      <c r="C526" s="2" t="s">
        <v>63</v>
      </c>
      <c r="D526" s="2" t="str">
        <f aca="false">INDEX(Léky!$B$2:$B$11,MATCH(C526,Léky!$A$2:$A$11,0))</f>
        <v>Omeprazol 20 mg</v>
      </c>
      <c r="E526" s="2" t="str">
        <f aca="false">INDEX(Léky!$E$2:$E$11,MATCH(C526,Léky!$A$2:$A$11,0))</f>
        <v>Trávení</v>
      </c>
      <c r="F526" s="2" t="n">
        <v>1</v>
      </c>
      <c r="G526" s="5" t="n">
        <f aca="false">INDEX(Léky!$H$2:$H$11,MATCH(C526,Léky!$A$2:$A$11,0))</f>
        <v>135</v>
      </c>
      <c r="H526" s="5" t="n">
        <f aca="false">F526*G526</f>
        <v>135</v>
      </c>
    </row>
    <row r="527" customFormat="false" ht="15" hidden="false" customHeight="false" outlineLevel="0" collapsed="false">
      <c r="A527" s="11" t="n">
        <v>45870</v>
      </c>
      <c r="B527" s="2" t="s">
        <v>166</v>
      </c>
      <c r="C527" s="2" t="s">
        <v>57</v>
      </c>
      <c r="D527" s="2" t="str">
        <f aca="false">INDEX(Léky!$B$2:$B$11,MATCH(C527,Léky!$A$2:$A$11,0))</f>
        <v>Levothyroxin 50 µg</v>
      </c>
      <c r="E527" s="2" t="str">
        <f aca="false">INDEX(Léky!$E$2:$E$11,MATCH(C527,Léky!$A$2:$A$11,0))</f>
        <v>Štítná žláza</v>
      </c>
      <c r="F527" s="2" t="n">
        <v>1</v>
      </c>
      <c r="G527" s="5" t="n">
        <f aca="false">INDEX(Léky!$H$2:$H$11,MATCH(C527,Léky!$A$2:$A$11,0))</f>
        <v>118</v>
      </c>
      <c r="H527" s="5" t="n">
        <f aca="false">F527*G527</f>
        <v>118</v>
      </c>
    </row>
    <row r="528" customFormat="false" ht="15" hidden="false" customHeight="false" outlineLevel="0" collapsed="false">
      <c r="A528" s="11" t="n">
        <v>45870</v>
      </c>
      <c r="B528" s="2" t="s">
        <v>167</v>
      </c>
      <c r="C528" s="2" t="s">
        <v>53</v>
      </c>
      <c r="D528" s="2" t="str">
        <f aca="false">INDEX(Léky!$B$2:$B$11,MATCH(C528,Léky!$A$2:$A$11,0))</f>
        <v>Ramipril 5 mg</v>
      </c>
      <c r="E528" s="2" t="str">
        <f aca="false">INDEX(Léky!$E$2:$E$11,MATCH(C528,Léky!$A$2:$A$11,0))</f>
        <v>Krevní tlak</v>
      </c>
      <c r="F528" s="2" t="n">
        <v>1</v>
      </c>
      <c r="G528" s="5" t="n">
        <f aca="false">INDEX(Léky!$H$2:$H$11,MATCH(C528,Léky!$A$2:$A$11,0))</f>
        <v>98</v>
      </c>
      <c r="H528" s="5" t="n">
        <f aca="false">F528*G528</f>
        <v>98</v>
      </c>
    </row>
    <row r="529" customFormat="false" ht="15" hidden="false" customHeight="false" outlineLevel="0" collapsed="false">
      <c r="A529" s="11" t="n">
        <v>45870</v>
      </c>
      <c r="B529" s="2" t="s">
        <v>168</v>
      </c>
      <c r="C529" s="2" t="s">
        <v>34</v>
      </c>
      <c r="D529" s="2" t="str">
        <f aca="false">INDEX(Léky!$B$2:$B$11,MATCH(C529,Léky!$A$2:$A$11,0))</f>
        <v>Metformin 500 mg</v>
      </c>
      <c r="E529" s="2" t="str">
        <f aca="false">INDEX(Léky!$E$2:$E$11,MATCH(C529,Léky!$A$2:$A$11,0))</f>
        <v>Diabetes</v>
      </c>
      <c r="F529" s="2" t="n">
        <v>1</v>
      </c>
      <c r="G529" s="5" t="n">
        <f aca="false">INDEX(Léky!$H$2:$H$11,MATCH(C529,Léky!$A$2:$A$11,0))</f>
        <v>89</v>
      </c>
      <c r="H529" s="5" t="n">
        <f aca="false">F529*G529</f>
        <v>89</v>
      </c>
    </row>
    <row r="530" customFormat="false" ht="15" hidden="false" customHeight="false" outlineLevel="0" collapsed="false">
      <c r="A530" s="11" t="n">
        <v>45870</v>
      </c>
      <c r="B530" s="2" t="s">
        <v>169</v>
      </c>
      <c r="C530" s="2" t="s">
        <v>63</v>
      </c>
      <c r="D530" s="2" t="str">
        <f aca="false">INDEX(Léky!$B$2:$B$11,MATCH(C530,Léky!$A$2:$A$11,0))</f>
        <v>Omeprazol 20 mg</v>
      </c>
      <c r="E530" s="2" t="str">
        <f aca="false">INDEX(Léky!$E$2:$E$11,MATCH(C530,Léky!$A$2:$A$11,0))</f>
        <v>Trávení</v>
      </c>
      <c r="F530" s="2" t="n">
        <v>1</v>
      </c>
      <c r="G530" s="5" t="n">
        <f aca="false">INDEX(Léky!$H$2:$H$11,MATCH(C530,Léky!$A$2:$A$11,0))</f>
        <v>135</v>
      </c>
      <c r="H530" s="5" t="n">
        <f aca="false">F530*G530</f>
        <v>135</v>
      </c>
    </row>
    <row r="531" customFormat="false" ht="15" hidden="false" customHeight="false" outlineLevel="0" collapsed="false">
      <c r="A531" s="11" t="n">
        <v>45870</v>
      </c>
      <c r="B531" s="2" t="s">
        <v>170</v>
      </c>
      <c r="C531" s="2" t="s">
        <v>63</v>
      </c>
      <c r="D531" s="2" t="str">
        <f aca="false">INDEX(Léky!$B$2:$B$11,MATCH(C531,Léky!$A$2:$A$11,0))</f>
        <v>Omeprazol 20 mg</v>
      </c>
      <c r="E531" s="2" t="str">
        <f aca="false">INDEX(Léky!$E$2:$E$11,MATCH(C531,Léky!$A$2:$A$11,0))</f>
        <v>Trávení</v>
      </c>
      <c r="F531" s="2" t="n">
        <v>1</v>
      </c>
      <c r="G531" s="5" t="n">
        <f aca="false">INDEX(Léky!$H$2:$H$11,MATCH(C531,Léky!$A$2:$A$11,0))</f>
        <v>135</v>
      </c>
      <c r="H531" s="5" t="n">
        <f aca="false">F531*G531</f>
        <v>135</v>
      </c>
    </row>
    <row r="532" customFormat="false" ht="15" hidden="false" customHeight="false" outlineLevel="0" collapsed="false">
      <c r="A532" s="11" t="n">
        <v>45870</v>
      </c>
      <c r="B532" s="2" t="s">
        <v>171</v>
      </c>
      <c r="C532" s="2" t="s">
        <v>34</v>
      </c>
      <c r="D532" s="2" t="str">
        <f aca="false">INDEX(Léky!$B$2:$B$11,MATCH(C532,Léky!$A$2:$A$11,0))</f>
        <v>Metformin 500 mg</v>
      </c>
      <c r="E532" s="2" t="str">
        <f aca="false">INDEX(Léky!$E$2:$E$11,MATCH(C532,Léky!$A$2:$A$11,0))</f>
        <v>Diabetes</v>
      </c>
      <c r="F532" s="2" t="n">
        <v>1</v>
      </c>
      <c r="G532" s="5" t="n">
        <f aca="false">INDEX(Léky!$H$2:$H$11,MATCH(C532,Léky!$A$2:$A$11,0))</f>
        <v>89</v>
      </c>
      <c r="H532" s="5" t="n">
        <f aca="false">F532*G532</f>
        <v>89</v>
      </c>
    </row>
    <row r="533" customFormat="false" ht="15" hidden="false" customHeight="false" outlineLevel="0" collapsed="false">
      <c r="A533" s="11" t="n">
        <v>45870</v>
      </c>
      <c r="B533" s="2" t="s">
        <v>171</v>
      </c>
      <c r="C533" s="2" t="s">
        <v>48</v>
      </c>
      <c r="D533" s="2" t="str">
        <f aca="false">INDEX(Léky!$B$2:$B$11,MATCH(C533,Léky!$A$2:$A$11,0))</f>
        <v>Amlodipin 5 mg</v>
      </c>
      <c r="E533" s="2" t="str">
        <f aca="false">INDEX(Léky!$E$2:$E$11,MATCH(C533,Léky!$A$2:$A$11,0))</f>
        <v>Krevní tlak</v>
      </c>
      <c r="F533" s="2" t="n">
        <v>1</v>
      </c>
      <c r="G533" s="5" t="n">
        <f aca="false">INDEX(Léky!$H$2:$H$11,MATCH(C533,Léky!$A$2:$A$11,0))</f>
        <v>72</v>
      </c>
      <c r="H533" s="5" t="n">
        <f aca="false">F533*G533</f>
        <v>72</v>
      </c>
    </row>
    <row r="534" customFormat="false" ht="15" hidden="false" customHeight="false" outlineLevel="0" collapsed="false">
      <c r="A534" s="11" t="n">
        <v>45870</v>
      </c>
      <c r="B534" s="2" t="s">
        <v>171</v>
      </c>
      <c r="C534" s="2" t="s">
        <v>57</v>
      </c>
      <c r="D534" s="2" t="str">
        <f aca="false">INDEX(Léky!$B$2:$B$11,MATCH(C534,Léky!$A$2:$A$11,0))</f>
        <v>Levothyroxin 50 µg</v>
      </c>
      <c r="E534" s="2" t="str">
        <f aca="false">INDEX(Léky!$E$2:$E$11,MATCH(C534,Léky!$A$2:$A$11,0))</f>
        <v>Štítná žláza</v>
      </c>
      <c r="F534" s="2" t="n">
        <v>1</v>
      </c>
      <c r="G534" s="5" t="n">
        <f aca="false">INDEX(Léky!$H$2:$H$11,MATCH(C534,Léky!$A$2:$A$11,0))</f>
        <v>118</v>
      </c>
      <c r="H534" s="5" t="n">
        <f aca="false">F534*G534</f>
        <v>118</v>
      </c>
    </row>
    <row r="535" customFormat="false" ht="15" hidden="false" customHeight="false" outlineLevel="0" collapsed="false">
      <c r="A535" s="11" t="n">
        <v>45870</v>
      </c>
      <c r="B535" s="2" t="s">
        <v>173</v>
      </c>
      <c r="C535" s="2" t="s">
        <v>53</v>
      </c>
      <c r="D535" s="2" t="str">
        <f aca="false">INDEX(Léky!$B$2:$B$11,MATCH(C535,Léky!$A$2:$A$11,0))</f>
        <v>Ramipril 5 mg</v>
      </c>
      <c r="E535" s="2" t="str">
        <f aca="false">INDEX(Léky!$E$2:$E$11,MATCH(C535,Léky!$A$2:$A$11,0))</f>
        <v>Krevní tlak</v>
      </c>
      <c r="F535" s="2" t="n">
        <v>1</v>
      </c>
      <c r="G535" s="5" t="n">
        <f aca="false">INDEX(Léky!$H$2:$H$11,MATCH(C535,Léky!$A$2:$A$11,0))</f>
        <v>98</v>
      </c>
      <c r="H535" s="5" t="n">
        <f aca="false">F535*G535</f>
        <v>98</v>
      </c>
    </row>
    <row r="536" customFormat="false" ht="15" hidden="false" customHeight="false" outlineLevel="0" collapsed="false">
      <c r="A536" s="11" t="n">
        <v>45870</v>
      </c>
      <c r="B536" s="2" t="s">
        <v>174</v>
      </c>
      <c r="C536" s="2" t="s">
        <v>48</v>
      </c>
      <c r="D536" s="2" t="str">
        <f aca="false">INDEX(Léky!$B$2:$B$11,MATCH(C536,Léky!$A$2:$A$11,0))</f>
        <v>Amlodipin 5 mg</v>
      </c>
      <c r="E536" s="2" t="str">
        <f aca="false">INDEX(Léky!$E$2:$E$11,MATCH(C536,Léky!$A$2:$A$11,0))</f>
        <v>Krevní tlak</v>
      </c>
      <c r="F536" s="2" t="n">
        <v>1</v>
      </c>
      <c r="G536" s="5" t="n">
        <f aca="false">INDEX(Léky!$H$2:$H$11,MATCH(C536,Léky!$A$2:$A$11,0))</f>
        <v>72</v>
      </c>
      <c r="H536" s="5" t="n">
        <f aca="false">F536*G536</f>
        <v>72</v>
      </c>
    </row>
    <row r="537" customFormat="false" ht="15" hidden="false" customHeight="false" outlineLevel="0" collapsed="false">
      <c r="A537" s="11" t="n">
        <v>45870</v>
      </c>
      <c r="B537" s="2" t="s">
        <v>174</v>
      </c>
      <c r="C537" s="2" t="s">
        <v>53</v>
      </c>
      <c r="D537" s="2" t="str">
        <f aca="false">INDEX(Léky!$B$2:$B$11,MATCH(C537,Léky!$A$2:$A$11,0))</f>
        <v>Ramipril 5 mg</v>
      </c>
      <c r="E537" s="2" t="str">
        <f aca="false">INDEX(Léky!$E$2:$E$11,MATCH(C537,Léky!$A$2:$A$11,0))</f>
        <v>Krevní tlak</v>
      </c>
      <c r="F537" s="2" t="n">
        <v>1</v>
      </c>
      <c r="G537" s="5" t="n">
        <f aca="false">INDEX(Léky!$H$2:$H$11,MATCH(C537,Léky!$A$2:$A$11,0))</f>
        <v>98</v>
      </c>
      <c r="H537" s="5" t="n">
        <f aca="false">F537*G537</f>
        <v>98</v>
      </c>
    </row>
    <row r="538" customFormat="false" ht="15" hidden="false" customHeight="false" outlineLevel="0" collapsed="false">
      <c r="A538" s="11" t="n">
        <v>45870</v>
      </c>
      <c r="B538" s="2" t="s">
        <v>175</v>
      </c>
      <c r="C538" s="2" t="s">
        <v>63</v>
      </c>
      <c r="D538" s="2" t="str">
        <f aca="false">INDEX(Léky!$B$2:$B$11,MATCH(C538,Léky!$A$2:$A$11,0))</f>
        <v>Omeprazol 20 mg</v>
      </c>
      <c r="E538" s="2" t="str">
        <f aca="false">INDEX(Léky!$E$2:$E$11,MATCH(C538,Léky!$A$2:$A$11,0))</f>
        <v>Trávení</v>
      </c>
      <c r="F538" s="2" t="n">
        <v>1</v>
      </c>
      <c r="G538" s="5" t="n">
        <f aca="false">INDEX(Léky!$H$2:$H$11,MATCH(C538,Léky!$A$2:$A$11,0))</f>
        <v>135</v>
      </c>
      <c r="H538" s="5" t="n">
        <f aca="false">F538*G538</f>
        <v>135</v>
      </c>
    </row>
    <row r="539" customFormat="false" ht="15" hidden="false" customHeight="false" outlineLevel="0" collapsed="false">
      <c r="A539" s="11" t="n">
        <v>45870</v>
      </c>
      <c r="B539" s="2" t="s">
        <v>175</v>
      </c>
      <c r="C539" s="2" t="s">
        <v>84</v>
      </c>
      <c r="D539" s="2" t="str">
        <f aca="false">INDEX(Léky!$B$2:$B$11,MATCH(C539,Léky!$A$2:$A$11,0))</f>
        <v>Amoxicilin 500 mg</v>
      </c>
      <c r="E539" s="2" t="str">
        <f aca="false">INDEX(Léky!$E$2:$E$11,MATCH(C539,Léky!$A$2:$A$11,0))</f>
        <v>Antibiotika</v>
      </c>
      <c r="F539" s="2" t="n">
        <v>1</v>
      </c>
      <c r="G539" s="5" t="n">
        <f aca="false">INDEX(Léky!$H$2:$H$11,MATCH(C539,Léky!$A$2:$A$11,0))</f>
        <v>120</v>
      </c>
      <c r="H539" s="5" t="n">
        <f aca="false">F539*G539</f>
        <v>120</v>
      </c>
    </row>
    <row r="540" customFormat="false" ht="15" hidden="false" customHeight="false" outlineLevel="0" collapsed="false">
      <c r="A540" s="11" t="n">
        <v>45901</v>
      </c>
      <c r="B540" s="2" t="s">
        <v>103</v>
      </c>
      <c r="C540" s="2" t="s">
        <v>34</v>
      </c>
      <c r="D540" s="2" t="str">
        <f aca="false">INDEX(Léky!$B$2:$B$11,MATCH(C540,Léky!$A$2:$A$11,0))</f>
        <v>Metformin 500 mg</v>
      </c>
      <c r="E540" s="2" t="str">
        <f aca="false">INDEX(Léky!$E$2:$E$11,MATCH(C540,Léky!$A$2:$A$11,0))</f>
        <v>Diabetes</v>
      </c>
      <c r="F540" s="2" t="n">
        <v>1</v>
      </c>
      <c r="G540" s="5" t="n">
        <f aca="false">INDEX(Léky!$H$2:$H$11,MATCH(C540,Léky!$A$2:$A$11,0))</f>
        <v>89</v>
      </c>
      <c r="H540" s="5" t="n">
        <f aca="false">F540*G540</f>
        <v>89</v>
      </c>
    </row>
    <row r="541" customFormat="false" ht="15" hidden="false" customHeight="false" outlineLevel="0" collapsed="false">
      <c r="A541" s="11" t="n">
        <v>45901</v>
      </c>
      <c r="B541" s="2" t="s">
        <v>110</v>
      </c>
      <c r="C541" s="2" t="s">
        <v>63</v>
      </c>
      <c r="D541" s="2" t="str">
        <f aca="false">INDEX(Léky!$B$2:$B$11,MATCH(C541,Léky!$A$2:$A$11,0))</f>
        <v>Omeprazol 20 mg</v>
      </c>
      <c r="E541" s="2" t="str">
        <f aca="false">INDEX(Léky!$E$2:$E$11,MATCH(C541,Léky!$A$2:$A$11,0))</f>
        <v>Trávení</v>
      </c>
      <c r="F541" s="2" t="n">
        <v>1</v>
      </c>
      <c r="G541" s="5" t="n">
        <f aca="false">INDEX(Léky!$H$2:$H$11,MATCH(C541,Léky!$A$2:$A$11,0))</f>
        <v>135</v>
      </c>
      <c r="H541" s="5" t="n">
        <f aca="false">F541*G541</f>
        <v>135</v>
      </c>
    </row>
    <row r="542" customFormat="false" ht="15" hidden="false" customHeight="false" outlineLevel="0" collapsed="false">
      <c r="A542" s="11" t="n">
        <v>45901</v>
      </c>
      <c r="B542" s="2" t="s">
        <v>114</v>
      </c>
      <c r="C542" s="2" t="s">
        <v>53</v>
      </c>
      <c r="D542" s="2" t="str">
        <f aca="false">INDEX(Léky!$B$2:$B$11,MATCH(C542,Léky!$A$2:$A$11,0))</f>
        <v>Ramipril 5 mg</v>
      </c>
      <c r="E542" s="2" t="str">
        <f aca="false">INDEX(Léky!$E$2:$E$11,MATCH(C542,Léky!$A$2:$A$11,0))</f>
        <v>Krevní tlak</v>
      </c>
      <c r="F542" s="2" t="n">
        <v>1</v>
      </c>
      <c r="G542" s="5" t="n">
        <f aca="false">INDEX(Léky!$H$2:$H$11,MATCH(C542,Léky!$A$2:$A$11,0))</f>
        <v>98</v>
      </c>
      <c r="H542" s="5" t="n">
        <f aca="false">F542*G542</f>
        <v>98</v>
      </c>
    </row>
    <row r="543" customFormat="false" ht="15" hidden="false" customHeight="false" outlineLevel="0" collapsed="false">
      <c r="A543" s="11" t="n">
        <v>45901</v>
      </c>
      <c r="B543" s="2" t="s">
        <v>114</v>
      </c>
      <c r="C543" s="2" t="s">
        <v>91</v>
      </c>
      <c r="D543" s="2" t="str">
        <f aca="false">INDEX(Léky!$B$2:$B$11,MATCH(C543,Léky!$A$2:$A$11,0))</f>
        <v>Ibuprofen 400 mg</v>
      </c>
      <c r="E543" s="2" t="str">
        <f aca="false">INDEX(Léky!$E$2:$E$11,MATCH(C543,Léky!$A$2:$A$11,0))</f>
        <v>Bolest</v>
      </c>
      <c r="F543" s="2" t="n">
        <v>1</v>
      </c>
      <c r="G543" s="5" t="n">
        <f aca="false">INDEX(Léky!$H$2:$H$11,MATCH(C543,Léky!$A$2:$A$11,0))</f>
        <v>65</v>
      </c>
      <c r="H543" s="5" t="n">
        <f aca="false">F543*G543</f>
        <v>65</v>
      </c>
    </row>
    <row r="544" customFormat="false" ht="15" hidden="false" customHeight="false" outlineLevel="0" collapsed="false">
      <c r="A544" s="11" t="n">
        <v>45901</v>
      </c>
      <c r="B544" s="2" t="s">
        <v>118</v>
      </c>
      <c r="C544" s="2" t="s">
        <v>48</v>
      </c>
      <c r="D544" s="2" t="str">
        <f aca="false">INDEX(Léky!$B$2:$B$11,MATCH(C544,Léky!$A$2:$A$11,0))</f>
        <v>Amlodipin 5 mg</v>
      </c>
      <c r="E544" s="2" t="str">
        <f aca="false">INDEX(Léky!$E$2:$E$11,MATCH(C544,Léky!$A$2:$A$11,0))</f>
        <v>Krevní tlak</v>
      </c>
      <c r="F544" s="2" t="n">
        <v>1</v>
      </c>
      <c r="G544" s="5" t="n">
        <f aca="false">INDEX(Léky!$H$2:$H$11,MATCH(C544,Léky!$A$2:$A$11,0))</f>
        <v>72</v>
      </c>
      <c r="H544" s="5" t="n">
        <f aca="false">F544*G544</f>
        <v>72</v>
      </c>
    </row>
    <row r="545" customFormat="false" ht="15" hidden="false" customHeight="false" outlineLevel="0" collapsed="false">
      <c r="A545" s="11" t="n">
        <v>45901</v>
      </c>
      <c r="B545" s="2" t="s">
        <v>119</v>
      </c>
      <c r="C545" s="2" t="s">
        <v>70</v>
      </c>
      <c r="D545" s="2" t="str">
        <f aca="false">INDEX(Léky!$B$2:$B$11,MATCH(C545,Léky!$A$2:$A$11,0))</f>
        <v>Sertralin 50 mg</v>
      </c>
      <c r="E545" s="2" t="str">
        <f aca="false">INDEX(Léky!$E$2:$E$11,MATCH(C545,Léky!$A$2:$A$11,0))</f>
        <v>Psychiatrie</v>
      </c>
      <c r="F545" s="2" t="n">
        <v>1</v>
      </c>
      <c r="G545" s="5" t="n">
        <f aca="false">INDEX(Léky!$H$2:$H$11,MATCH(C545,Léky!$A$2:$A$11,0))</f>
        <v>210</v>
      </c>
      <c r="H545" s="5" t="n">
        <f aca="false">F545*G545</f>
        <v>210</v>
      </c>
    </row>
    <row r="546" customFormat="false" ht="15" hidden="false" customHeight="false" outlineLevel="0" collapsed="false">
      <c r="A546" s="11" t="n">
        <v>45901</v>
      </c>
      <c r="B546" s="2" t="s">
        <v>124</v>
      </c>
      <c r="C546" s="2" t="s">
        <v>48</v>
      </c>
      <c r="D546" s="2" t="str">
        <f aca="false">INDEX(Léky!$B$2:$B$11,MATCH(C546,Léky!$A$2:$A$11,0))</f>
        <v>Amlodipin 5 mg</v>
      </c>
      <c r="E546" s="2" t="str">
        <f aca="false">INDEX(Léky!$E$2:$E$11,MATCH(C546,Léky!$A$2:$A$11,0))</f>
        <v>Krevní tlak</v>
      </c>
      <c r="F546" s="2" t="n">
        <v>1</v>
      </c>
      <c r="G546" s="5" t="n">
        <f aca="false">INDEX(Léky!$H$2:$H$11,MATCH(C546,Léky!$A$2:$A$11,0))</f>
        <v>72</v>
      </c>
      <c r="H546" s="5" t="n">
        <f aca="false">F546*G546</f>
        <v>72</v>
      </c>
    </row>
    <row r="547" customFormat="false" ht="15" hidden="false" customHeight="false" outlineLevel="0" collapsed="false">
      <c r="A547" s="11" t="n">
        <v>45901</v>
      </c>
      <c r="B547" s="2" t="s">
        <v>125</v>
      </c>
      <c r="C547" s="2" t="s">
        <v>70</v>
      </c>
      <c r="D547" s="2" t="str">
        <f aca="false">INDEX(Léky!$B$2:$B$11,MATCH(C547,Léky!$A$2:$A$11,0))</f>
        <v>Sertralin 50 mg</v>
      </c>
      <c r="E547" s="2" t="str">
        <f aca="false">INDEX(Léky!$E$2:$E$11,MATCH(C547,Léky!$A$2:$A$11,0))</f>
        <v>Psychiatrie</v>
      </c>
      <c r="F547" s="2" t="n">
        <v>1</v>
      </c>
      <c r="G547" s="5" t="n">
        <f aca="false">INDEX(Léky!$H$2:$H$11,MATCH(C547,Léky!$A$2:$A$11,0))</f>
        <v>210</v>
      </c>
      <c r="H547" s="5" t="n">
        <f aca="false">F547*G547</f>
        <v>210</v>
      </c>
    </row>
    <row r="548" customFormat="false" ht="15" hidden="false" customHeight="false" outlineLevel="0" collapsed="false">
      <c r="A548" s="11" t="n">
        <v>45901</v>
      </c>
      <c r="B548" s="2" t="s">
        <v>125</v>
      </c>
      <c r="C548" s="2" t="s">
        <v>84</v>
      </c>
      <c r="D548" s="2" t="str">
        <f aca="false">INDEX(Léky!$B$2:$B$11,MATCH(C548,Léky!$A$2:$A$11,0))</f>
        <v>Amoxicilin 500 mg</v>
      </c>
      <c r="E548" s="2" t="str">
        <f aca="false">INDEX(Léky!$E$2:$E$11,MATCH(C548,Léky!$A$2:$A$11,0))</f>
        <v>Antibiotika</v>
      </c>
      <c r="F548" s="2" t="n">
        <v>1</v>
      </c>
      <c r="G548" s="5" t="n">
        <f aca="false">INDEX(Léky!$H$2:$H$11,MATCH(C548,Léky!$A$2:$A$11,0))</f>
        <v>120</v>
      </c>
      <c r="H548" s="5" t="n">
        <f aca="false">F548*G548</f>
        <v>120</v>
      </c>
    </row>
    <row r="549" customFormat="false" ht="15" hidden="false" customHeight="false" outlineLevel="0" collapsed="false">
      <c r="A549" s="11" t="n">
        <v>45901</v>
      </c>
      <c r="B549" s="2" t="s">
        <v>127</v>
      </c>
      <c r="C549" s="2" t="s">
        <v>91</v>
      </c>
      <c r="D549" s="2" t="str">
        <f aca="false">INDEX(Léky!$B$2:$B$11,MATCH(C549,Léky!$A$2:$A$11,0))</f>
        <v>Ibuprofen 400 mg</v>
      </c>
      <c r="E549" s="2" t="str">
        <f aca="false">INDEX(Léky!$E$2:$E$11,MATCH(C549,Léky!$A$2:$A$11,0))</f>
        <v>Bolest</v>
      </c>
      <c r="F549" s="2" t="n">
        <v>2</v>
      </c>
      <c r="G549" s="5" t="n">
        <f aca="false">INDEX(Léky!$H$2:$H$11,MATCH(C549,Léky!$A$2:$A$11,0))</f>
        <v>65</v>
      </c>
      <c r="H549" s="5" t="n">
        <f aca="false">F549*G549</f>
        <v>130</v>
      </c>
    </row>
    <row r="550" customFormat="false" ht="15" hidden="false" customHeight="false" outlineLevel="0" collapsed="false">
      <c r="A550" s="11" t="n">
        <v>45901</v>
      </c>
      <c r="B550" s="2" t="s">
        <v>128</v>
      </c>
      <c r="C550" s="2" t="s">
        <v>53</v>
      </c>
      <c r="D550" s="2" t="str">
        <f aca="false">INDEX(Léky!$B$2:$B$11,MATCH(C550,Léky!$A$2:$A$11,0))</f>
        <v>Ramipril 5 mg</v>
      </c>
      <c r="E550" s="2" t="str">
        <f aca="false">INDEX(Léky!$E$2:$E$11,MATCH(C550,Léky!$A$2:$A$11,0))</f>
        <v>Krevní tlak</v>
      </c>
      <c r="F550" s="2" t="n">
        <v>1</v>
      </c>
      <c r="G550" s="5" t="n">
        <f aca="false">INDEX(Léky!$H$2:$H$11,MATCH(C550,Léky!$A$2:$A$11,0))</f>
        <v>98</v>
      </c>
      <c r="H550" s="5" t="n">
        <f aca="false">F550*G550</f>
        <v>98</v>
      </c>
    </row>
    <row r="551" customFormat="false" ht="15" hidden="false" customHeight="false" outlineLevel="0" collapsed="false">
      <c r="A551" s="11" t="n">
        <v>45901</v>
      </c>
      <c r="B551" s="2" t="s">
        <v>129</v>
      </c>
      <c r="C551" s="2" t="s">
        <v>34</v>
      </c>
      <c r="D551" s="2" t="str">
        <f aca="false">INDEX(Léky!$B$2:$B$11,MATCH(C551,Léky!$A$2:$A$11,0))</f>
        <v>Metformin 500 mg</v>
      </c>
      <c r="E551" s="2" t="str">
        <f aca="false">INDEX(Léky!$E$2:$E$11,MATCH(C551,Léky!$A$2:$A$11,0))</f>
        <v>Diabetes</v>
      </c>
      <c r="F551" s="2" t="n">
        <v>1</v>
      </c>
      <c r="G551" s="5" t="n">
        <f aca="false">INDEX(Léky!$H$2:$H$11,MATCH(C551,Léky!$A$2:$A$11,0))</f>
        <v>89</v>
      </c>
      <c r="H551" s="5" t="n">
        <f aca="false">F551*G551</f>
        <v>89</v>
      </c>
    </row>
    <row r="552" customFormat="false" ht="15" hidden="false" customHeight="false" outlineLevel="0" collapsed="false">
      <c r="A552" s="11" t="n">
        <v>45901</v>
      </c>
      <c r="B552" s="2" t="s">
        <v>129</v>
      </c>
      <c r="C552" s="2" t="s">
        <v>70</v>
      </c>
      <c r="D552" s="2" t="str">
        <f aca="false">INDEX(Léky!$B$2:$B$11,MATCH(C552,Léky!$A$2:$A$11,0))</f>
        <v>Sertralin 50 mg</v>
      </c>
      <c r="E552" s="2" t="str">
        <f aca="false">INDEX(Léky!$E$2:$E$11,MATCH(C552,Léky!$A$2:$A$11,0))</f>
        <v>Psychiatrie</v>
      </c>
      <c r="F552" s="2" t="n">
        <v>1</v>
      </c>
      <c r="G552" s="5" t="n">
        <f aca="false">INDEX(Léky!$H$2:$H$11,MATCH(C552,Léky!$A$2:$A$11,0))</f>
        <v>210</v>
      </c>
      <c r="H552" s="5" t="n">
        <f aca="false">F552*G552</f>
        <v>210</v>
      </c>
    </row>
    <row r="553" customFormat="false" ht="15" hidden="false" customHeight="false" outlineLevel="0" collapsed="false">
      <c r="A553" s="11" t="n">
        <v>45901</v>
      </c>
      <c r="B553" s="2" t="s">
        <v>130</v>
      </c>
      <c r="C553" s="2" t="s">
        <v>57</v>
      </c>
      <c r="D553" s="2" t="str">
        <f aca="false">INDEX(Léky!$B$2:$B$11,MATCH(C553,Léky!$A$2:$A$11,0))</f>
        <v>Levothyroxin 50 µg</v>
      </c>
      <c r="E553" s="2" t="str">
        <f aca="false">INDEX(Léky!$E$2:$E$11,MATCH(C553,Léky!$A$2:$A$11,0))</f>
        <v>Štítná žláza</v>
      </c>
      <c r="F553" s="2" t="n">
        <v>1</v>
      </c>
      <c r="G553" s="5" t="n">
        <f aca="false">INDEX(Léky!$H$2:$H$11,MATCH(C553,Léky!$A$2:$A$11,0))</f>
        <v>118</v>
      </c>
      <c r="H553" s="5" t="n">
        <f aca="false">F553*G553</f>
        <v>118</v>
      </c>
    </row>
    <row r="554" customFormat="false" ht="15" hidden="false" customHeight="false" outlineLevel="0" collapsed="false">
      <c r="A554" s="11" t="n">
        <v>45901</v>
      </c>
      <c r="B554" s="2" t="s">
        <v>131</v>
      </c>
      <c r="C554" s="2" t="s">
        <v>34</v>
      </c>
      <c r="D554" s="2" t="str">
        <f aca="false">INDEX(Léky!$B$2:$B$11,MATCH(C554,Léky!$A$2:$A$11,0))</f>
        <v>Metformin 500 mg</v>
      </c>
      <c r="E554" s="2" t="str">
        <f aca="false">INDEX(Léky!$E$2:$E$11,MATCH(C554,Léky!$A$2:$A$11,0))</f>
        <v>Diabetes</v>
      </c>
      <c r="F554" s="2" t="n">
        <v>1</v>
      </c>
      <c r="G554" s="5" t="n">
        <f aca="false">INDEX(Léky!$H$2:$H$11,MATCH(C554,Léky!$A$2:$A$11,0))</f>
        <v>89</v>
      </c>
      <c r="H554" s="5" t="n">
        <f aca="false">F554*G554</f>
        <v>89</v>
      </c>
    </row>
    <row r="555" customFormat="false" ht="15" hidden="false" customHeight="false" outlineLevel="0" collapsed="false">
      <c r="A555" s="11" t="n">
        <v>45901</v>
      </c>
      <c r="B555" s="2" t="s">
        <v>131</v>
      </c>
      <c r="C555" s="2" t="s">
        <v>53</v>
      </c>
      <c r="D555" s="2" t="str">
        <f aca="false">INDEX(Léky!$B$2:$B$11,MATCH(C555,Léky!$A$2:$A$11,0))</f>
        <v>Ramipril 5 mg</v>
      </c>
      <c r="E555" s="2" t="str">
        <f aca="false">INDEX(Léky!$E$2:$E$11,MATCH(C555,Léky!$A$2:$A$11,0))</f>
        <v>Krevní tlak</v>
      </c>
      <c r="F555" s="2" t="n">
        <v>1</v>
      </c>
      <c r="G555" s="5" t="n">
        <f aca="false">INDEX(Léky!$H$2:$H$11,MATCH(C555,Léky!$A$2:$A$11,0))</f>
        <v>98</v>
      </c>
      <c r="H555" s="5" t="n">
        <f aca="false">F555*G555</f>
        <v>98</v>
      </c>
    </row>
    <row r="556" customFormat="false" ht="15" hidden="false" customHeight="false" outlineLevel="0" collapsed="false">
      <c r="A556" s="11" t="n">
        <v>45901</v>
      </c>
      <c r="B556" s="2" t="s">
        <v>131</v>
      </c>
      <c r="C556" s="2" t="s">
        <v>63</v>
      </c>
      <c r="D556" s="2" t="str">
        <f aca="false">INDEX(Léky!$B$2:$B$11,MATCH(C556,Léky!$A$2:$A$11,0))</f>
        <v>Omeprazol 20 mg</v>
      </c>
      <c r="E556" s="2" t="str">
        <f aca="false">INDEX(Léky!$E$2:$E$11,MATCH(C556,Léky!$A$2:$A$11,0))</f>
        <v>Trávení</v>
      </c>
      <c r="F556" s="2" t="n">
        <v>1</v>
      </c>
      <c r="G556" s="5" t="n">
        <f aca="false">INDEX(Léky!$H$2:$H$11,MATCH(C556,Léky!$A$2:$A$11,0))</f>
        <v>135</v>
      </c>
      <c r="H556" s="5" t="n">
        <f aca="false">F556*G556</f>
        <v>135</v>
      </c>
    </row>
    <row r="557" customFormat="false" ht="15" hidden="false" customHeight="false" outlineLevel="0" collapsed="false">
      <c r="A557" s="11" t="n">
        <v>45901</v>
      </c>
      <c r="B557" s="2" t="s">
        <v>133</v>
      </c>
      <c r="C557" s="2" t="s">
        <v>48</v>
      </c>
      <c r="D557" s="2" t="str">
        <f aca="false">INDEX(Léky!$B$2:$B$11,MATCH(C557,Léky!$A$2:$A$11,0))</f>
        <v>Amlodipin 5 mg</v>
      </c>
      <c r="E557" s="2" t="str">
        <f aca="false">INDEX(Léky!$E$2:$E$11,MATCH(C557,Léky!$A$2:$A$11,0))</f>
        <v>Krevní tlak</v>
      </c>
      <c r="F557" s="2" t="n">
        <v>1</v>
      </c>
      <c r="G557" s="5" t="n">
        <f aca="false">INDEX(Léky!$H$2:$H$11,MATCH(C557,Léky!$A$2:$A$11,0))</f>
        <v>72</v>
      </c>
      <c r="H557" s="5" t="n">
        <f aca="false">F557*G557</f>
        <v>72</v>
      </c>
    </row>
    <row r="558" customFormat="false" ht="15" hidden="false" customHeight="false" outlineLevel="0" collapsed="false">
      <c r="A558" s="11" t="n">
        <v>45901</v>
      </c>
      <c r="B558" s="2" t="s">
        <v>135</v>
      </c>
      <c r="C558" s="2" t="s">
        <v>63</v>
      </c>
      <c r="D558" s="2" t="str">
        <f aca="false">INDEX(Léky!$B$2:$B$11,MATCH(C558,Léky!$A$2:$A$11,0))</f>
        <v>Omeprazol 20 mg</v>
      </c>
      <c r="E558" s="2" t="str">
        <f aca="false">INDEX(Léky!$E$2:$E$11,MATCH(C558,Léky!$A$2:$A$11,0))</f>
        <v>Trávení</v>
      </c>
      <c r="F558" s="2" t="n">
        <v>1</v>
      </c>
      <c r="G558" s="5" t="n">
        <f aca="false">INDEX(Léky!$H$2:$H$11,MATCH(C558,Léky!$A$2:$A$11,0))</f>
        <v>135</v>
      </c>
      <c r="H558" s="5" t="n">
        <f aca="false">F558*G558</f>
        <v>135</v>
      </c>
    </row>
    <row r="559" customFormat="false" ht="15" hidden="false" customHeight="false" outlineLevel="0" collapsed="false">
      <c r="A559" s="11" t="n">
        <v>45901</v>
      </c>
      <c r="B559" s="2" t="s">
        <v>136</v>
      </c>
      <c r="C559" s="2" t="s">
        <v>34</v>
      </c>
      <c r="D559" s="2" t="str">
        <f aca="false">INDEX(Léky!$B$2:$B$11,MATCH(C559,Léky!$A$2:$A$11,0))</f>
        <v>Metformin 500 mg</v>
      </c>
      <c r="E559" s="2" t="str">
        <f aca="false">INDEX(Léky!$E$2:$E$11,MATCH(C559,Léky!$A$2:$A$11,0))</f>
        <v>Diabetes</v>
      </c>
      <c r="F559" s="2" t="n">
        <v>2</v>
      </c>
      <c r="G559" s="5" t="n">
        <f aca="false">INDEX(Léky!$H$2:$H$11,MATCH(C559,Léky!$A$2:$A$11,0))</f>
        <v>89</v>
      </c>
      <c r="H559" s="5" t="n">
        <f aca="false">F559*G559</f>
        <v>178</v>
      </c>
    </row>
    <row r="560" customFormat="false" ht="15" hidden="false" customHeight="false" outlineLevel="0" collapsed="false">
      <c r="A560" s="11" t="n">
        <v>45901</v>
      </c>
      <c r="B560" s="2" t="s">
        <v>137</v>
      </c>
      <c r="C560" s="2" t="s">
        <v>70</v>
      </c>
      <c r="D560" s="2" t="str">
        <f aca="false">INDEX(Léky!$B$2:$B$11,MATCH(C560,Léky!$A$2:$A$11,0))</f>
        <v>Sertralin 50 mg</v>
      </c>
      <c r="E560" s="2" t="str">
        <f aca="false">INDEX(Léky!$E$2:$E$11,MATCH(C560,Léky!$A$2:$A$11,0))</f>
        <v>Psychiatrie</v>
      </c>
      <c r="F560" s="2" t="n">
        <v>1</v>
      </c>
      <c r="G560" s="5" t="n">
        <f aca="false">INDEX(Léky!$H$2:$H$11,MATCH(C560,Léky!$A$2:$A$11,0))</f>
        <v>210</v>
      </c>
      <c r="H560" s="5" t="n">
        <f aca="false">F560*G560</f>
        <v>210</v>
      </c>
    </row>
    <row r="561" customFormat="false" ht="15" hidden="false" customHeight="false" outlineLevel="0" collapsed="false">
      <c r="A561" s="11" t="n">
        <v>45901</v>
      </c>
      <c r="B561" s="2" t="s">
        <v>137</v>
      </c>
      <c r="C561" s="2" t="s">
        <v>84</v>
      </c>
      <c r="D561" s="2" t="str">
        <f aca="false">INDEX(Léky!$B$2:$B$11,MATCH(C561,Léky!$A$2:$A$11,0))</f>
        <v>Amoxicilin 500 mg</v>
      </c>
      <c r="E561" s="2" t="str">
        <f aca="false">INDEX(Léky!$E$2:$E$11,MATCH(C561,Léky!$A$2:$A$11,0))</f>
        <v>Antibiotika</v>
      </c>
      <c r="F561" s="2" t="n">
        <v>1</v>
      </c>
      <c r="G561" s="5" t="n">
        <f aca="false">INDEX(Léky!$H$2:$H$11,MATCH(C561,Léky!$A$2:$A$11,0))</f>
        <v>120</v>
      </c>
      <c r="H561" s="5" t="n">
        <f aca="false">F561*G561</f>
        <v>120</v>
      </c>
    </row>
    <row r="562" customFormat="false" ht="15" hidden="false" customHeight="false" outlineLevel="0" collapsed="false">
      <c r="A562" s="11" t="n">
        <v>45901</v>
      </c>
      <c r="B562" s="2" t="s">
        <v>138</v>
      </c>
      <c r="C562" s="2" t="s">
        <v>48</v>
      </c>
      <c r="D562" s="2" t="str">
        <f aca="false">INDEX(Léky!$B$2:$B$11,MATCH(C562,Léky!$A$2:$A$11,0))</f>
        <v>Amlodipin 5 mg</v>
      </c>
      <c r="E562" s="2" t="str">
        <f aca="false">INDEX(Léky!$E$2:$E$11,MATCH(C562,Léky!$A$2:$A$11,0))</f>
        <v>Krevní tlak</v>
      </c>
      <c r="F562" s="2" t="n">
        <v>1</v>
      </c>
      <c r="G562" s="5" t="n">
        <f aca="false">INDEX(Léky!$H$2:$H$11,MATCH(C562,Léky!$A$2:$A$11,0))</f>
        <v>72</v>
      </c>
      <c r="H562" s="5" t="n">
        <f aca="false">F562*G562</f>
        <v>72</v>
      </c>
    </row>
    <row r="563" customFormat="false" ht="15" hidden="false" customHeight="false" outlineLevel="0" collapsed="false">
      <c r="A563" s="11" t="n">
        <v>45901</v>
      </c>
      <c r="B563" s="2" t="s">
        <v>138</v>
      </c>
      <c r="C563" s="2" t="s">
        <v>57</v>
      </c>
      <c r="D563" s="2" t="str">
        <f aca="false">INDEX(Léky!$B$2:$B$11,MATCH(C563,Léky!$A$2:$A$11,0))</f>
        <v>Levothyroxin 50 µg</v>
      </c>
      <c r="E563" s="2" t="str">
        <f aca="false">INDEX(Léky!$E$2:$E$11,MATCH(C563,Léky!$A$2:$A$11,0))</f>
        <v>Štítná žláza</v>
      </c>
      <c r="F563" s="2" t="n">
        <v>1</v>
      </c>
      <c r="G563" s="5" t="n">
        <f aca="false">INDEX(Léky!$H$2:$H$11,MATCH(C563,Léky!$A$2:$A$11,0))</f>
        <v>118</v>
      </c>
      <c r="H563" s="5" t="n">
        <f aca="false">F563*G563</f>
        <v>118</v>
      </c>
    </row>
    <row r="564" customFormat="false" ht="15" hidden="false" customHeight="false" outlineLevel="0" collapsed="false">
      <c r="A564" s="11" t="n">
        <v>45901</v>
      </c>
      <c r="B564" s="2" t="s">
        <v>138</v>
      </c>
      <c r="C564" s="2" t="s">
        <v>63</v>
      </c>
      <c r="D564" s="2" t="str">
        <f aca="false">INDEX(Léky!$B$2:$B$11,MATCH(C564,Léky!$A$2:$A$11,0))</f>
        <v>Omeprazol 20 mg</v>
      </c>
      <c r="E564" s="2" t="str">
        <f aca="false">INDEX(Léky!$E$2:$E$11,MATCH(C564,Léky!$A$2:$A$11,0))</f>
        <v>Trávení</v>
      </c>
      <c r="F564" s="2" t="n">
        <v>1</v>
      </c>
      <c r="G564" s="5" t="n">
        <f aca="false">INDEX(Léky!$H$2:$H$11,MATCH(C564,Léky!$A$2:$A$11,0))</f>
        <v>135</v>
      </c>
      <c r="H564" s="5" t="n">
        <f aca="false">F564*G564</f>
        <v>135</v>
      </c>
    </row>
    <row r="565" customFormat="false" ht="15" hidden="false" customHeight="false" outlineLevel="0" collapsed="false">
      <c r="A565" s="11" t="n">
        <v>45901</v>
      </c>
      <c r="B565" s="2" t="s">
        <v>140</v>
      </c>
      <c r="C565" s="2" t="s">
        <v>42</v>
      </c>
      <c r="D565" s="2" t="str">
        <f aca="false">INDEX(Léky!$B$2:$B$11,MATCH(C565,Léky!$A$2:$A$11,0))</f>
        <v>Atorvastatin 20 mg</v>
      </c>
      <c r="E565" s="2" t="str">
        <f aca="false">INDEX(Léky!$E$2:$E$11,MATCH(C565,Léky!$A$2:$A$11,0))</f>
        <v>Cholesterol</v>
      </c>
      <c r="F565" s="2" t="n">
        <v>1</v>
      </c>
      <c r="G565" s="5" t="n">
        <f aca="false">INDEX(Léky!$H$2:$H$11,MATCH(C565,Léky!$A$2:$A$11,0))</f>
        <v>145</v>
      </c>
      <c r="H565" s="5" t="n">
        <f aca="false">F565*G565</f>
        <v>145</v>
      </c>
    </row>
    <row r="566" customFormat="false" ht="15" hidden="false" customHeight="false" outlineLevel="0" collapsed="false">
      <c r="A566" s="11" t="n">
        <v>45901</v>
      </c>
      <c r="B566" s="2" t="s">
        <v>140</v>
      </c>
      <c r="C566" s="2" t="s">
        <v>57</v>
      </c>
      <c r="D566" s="2" t="str">
        <f aca="false">INDEX(Léky!$B$2:$B$11,MATCH(C566,Léky!$A$2:$A$11,0))</f>
        <v>Levothyroxin 50 µg</v>
      </c>
      <c r="E566" s="2" t="str">
        <f aca="false">INDEX(Léky!$E$2:$E$11,MATCH(C566,Léky!$A$2:$A$11,0))</f>
        <v>Štítná žláza</v>
      </c>
      <c r="F566" s="2" t="n">
        <v>1</v>
      </c>
      <c r="G566" s="5" t="n">
        <f aca="false">INDEX(Léky!$H$2:$H$11,MATCH(C566,Léky!$A$2:$A$11,0))</f>
        <v>118</v>
      </c>
      <c r="H566" s="5" t="n">
        <f aca="false">F566*G566</f>
        <v>118</v>
      </c>
    </row>
    <row r="567" customFormat="false" ht="15" hidden="false" customHeight="false" outlineLevel="0" collapsed="false">
      <c r="A567" s="11" t="n">
        <v>45901</v>
      </c>
      <c r="B567" s="2" t="s">
        <v>140</v>
      </c>
      <c r="C567" s="2" t="s">
        <v>84</v>
      </c>
      <c r="D567" s="2" t="str">
        <f aca="false">INDEX(Léky!$B$2:$B$11,MATCH(C567,Léky!$A$2:$A$11,0))</f>
        <v>Amoxicilin 500 mg</v>
      </c>
      <c r="E567" s="2" t="str">
        <f aca="false">INDEX(Léky!$E$2:$E$11,MATCH(C567,Léky!$A$2:$A$11,0))</f>
        <v>Antibiotika</v>
      </c>
      <c r="F567" s="2" t="n">
        <v>1</v>
      </c>
      <c r="G567" s="5" t="n">
        <f aca="false">INDEX(Léky!$H$2:$H$11,MATCH(C567,Léky!$A$2:$A$11,0))</f>
        <v>120</v>
      </c>
      <c r="H567" s="5" t="n">
        <f aca="false">F567*G567</f>
        <v>120</v>
      </c>
    </row>
    <row r="568" customFormat="false" ht="15" hidden="false" customHeight="false" outlineLevel="0" collapsed="false">
      <c r="A568" s="11" t="n">
        <v>45901</v>
      </c>
      <c r="B568" s="2" t="s">
        <v>140</v>
      </c>
      <c r="C568" s="2" t="s">
        <v>91</v>
      </c>
      <c r="D568" s="2" t="str">
        <f aca="false">INDEX(Léky!$B$2:$B$11,MATCH(C568,Léky!$A$2:$A$11,0))</f>
        <v>Ibuprofen 400 mg</v>
      </c>
      <c r="E568" s="2" t="str">
        <f aca="false">INDEX(Léky!$E$2:$E$11,MATCH(C568,Léky!$A$2:$A$11,0))</f>
        <v>Bolest</v>
      </c>
      <c r="F568" s="2" t="n">
        <v>2</v>
      </c>
      <c r="G568" s="5" t="n">
        <f aca="false">INDEX(Léky!$H$2:$H$11,MATCH(C568,Léky!$A$2:$A$11,0))</f>
        <v>65</v>
      </c>
      <c r="H568" s="5" t="n">
        <f aca="false">F568*G568</f>
        <v>130</v>
      </c>
    </row>
    <row r="569" customFormat="false" ht="15" hidden="false" customHeight="false" outlineLevel="0" collapsed="false">
      <c r="A569" s="11" t="n">
        <v>45901</v>
      </c>
      <c r="B569" s="2" t="s">
        <v>141</v>
      </c>
      <c r="C569" s="2" t="s">
        <v>53</v>
      </c>
      <c r="D569" s="2" t="str">
        <f aca="false">INDEX(Léky!$B$2:$B$11,MATCH(C569,Léky!$A$2:$A$11,0))</f>
        <v>Ramipril 5 mg</v>
      </c>
      <c r="E569" s="2" t="str">
        <f aca="false">INDEX(Léky!$E$2:$E$11,MATCH(C569,Léky!$A$2:$A$11,0))</f>
        <v>Krevní tlak</v>
      </c>
      <c r="F569" s="2" t="n">
        <v>1</v>
      </c>
      <c r="G569" s="5" t="n">
        <f aca="false">INDEX(Léky!$H$2:$H$11,MATCH(C569,Léky!$A$2:$A$11,0))</f>
        <v>98</v>
      </c>
      <c r="H569" s="5" t="n">
        <f aca="false">F569*G569</f>
        <v>98</v>
      </c>
    </row>
    <row r="570" customFormat="false" ht="15" hidden="false" customHeight="false" outlineLevel="0" collapsed="false">
      <c r="A570" s="11" t="n">
        <v>45901</v>
      </c>
      <c r="B570" s="2" t="s">
        <v>142</v>
      </c>
      <c r="C570" s="2" t="s">
        <v>48</v>
      </c>
      <c r="D570" s="2" t="str">
        <f aca="false">INDEX(Léky!$B$2:$B$11,MATCH(C570,Léky!$A$2:$A$11,0))</f>
        <v>Amlodipin 5 mg</v>
      </c>
      <c r="E570" s="2" t="str">
        <f aca="false">INDEX(Léky!$E$2:$E$11,MATCH(C570,Léky!$A$2:$A$11,0))</f>
        <v>Krevní tlak</v>
      </c>
      <c r="F570" s="2" t="n">
        <v>1</v>
      </c>
      <c r="G570" s="5" t="n">
        <f aca="false">INDEX(Léky!$H$2:$H$11,MATCH(C570,Léky!$A$2:$A$11,0))</f>
        <v>72</v>
      </c>
      <c r="H570" s="5" t="n">
        <f aca="false">F570*G570</f>
        <v>72</v>
      </c>
    </row>
    <row r="571" customFormat="false" ht="15" hidden="false" customHeight="false" outlineLevel="0" collapsed="false">
      <c r="A571" s="11" t="n">
        <v>45901</v>
      </c>
      <c r="B571" s="2" t="s">
        <v>143</v>
      </c>
      <c r="C571" s="2" t="s">
        <v>76</v>
      </c>
      <c r="D571" s="2" t="str">
        <f aca="false">INDEX(Léky!$B$2:$B$11,MATCH(C571,Léky!$A$2:$A$11,0))</f>
        <v>Salbutamol inhalátor</v>
      </c>
      <c r="E571" s="2" t="str">
        <f aca="false">INDEX(Léky!$E$2:$E$11,MATCH(C571,Léky!$A$2:$A$11,0))</f>
        <v>Dýchací cesty</v>
      </c>
      <c r="F571" s="2" t="n">
        <v>1</v>
      </c>
      <c r="G571" s="5" t="n">
        <f aca="false">INDEX(Léky!$H$2:$H$11,MATCH(C571,Léky!$A$2:$A$11,0))</f>
        <v>165</v>
      </c>
      <c r="H571" s="5" t="n">
        <f aca="false">F571*G571</f>
        <v>165</v>
      </c>
    </row>
    <row r="572" customFormat="false" ht="15" hidden="false" customHeight="false" outlineLevel="0" collapsed="false">
      <c r="A572" s="11" t="n">
        <v>45901</v>
      </c>
      <c r="B572" s="2" t="s">
        <v>143</v>
      </c>
      <c r="C572" s="2" t="s">
        <v>84</v>
      </c>
      <c r="D572" s="2" t="str">
        <f aca="false">INDEX(Léky!$B$2:$B$11,MATCH(C572,Léky!$A$2:$A$11,0))</f>
        <v>Amoxicilin 500 mg</v>
      </c>
      <c r="E572" s="2" t="str">
        <f aca="false">INDEX(Léky!$E$2:$E$11,MATCH(C572,Léky!$A$2:$A$11,0))</f>
        <v>Antibiotika</v>
      </c>
      <c r="F572" s="2" t="n">
        <v>1</v>
      </c>
      <c r="G572" s="5" t="n">
        <f aca="false">INDEX(Léky!$H$2:$H$11,MATCH(C572,Léky!$A$2:$A$11,0))</f>
        <v>120</v>
      </c>
      <c r="H572" s="5" t="n">
        <f aca="false">F572*G572</f>
        <v>120</v>
      </c>
    </row>
    <row r="573" customFormat="false" ht="15" hidden="false" customHeight="false" outlineLevel="0" collapsed="false">
      <c r="A573" s="11" t="n">
        <v>45901</v>
      </c>
      <c r="B573" s="2" t="s">
        <v>144</v>
      </c>
      <c r="C573" s="2" t="s">
        <v>63</v>
      </c>
      <c r="D573" s="2" t="str">
        <f aca="false">INDEX(Léky!$B$2:$B$11,MATCH(C573,Léky!$A$2:$A$11,0))</f>
        <v>Omeprazol 20 mg</v>
      </c>
      <c r="E573" s="2" t="str">
        <f aca="false">INDEX(Léky!$E$2:$E$11,MATCH(C573,Léky!$A$2:$A$11,0))</f>
        <v>Trávení</v>
      </c>
      <c r="F573" s="2" t="n">
        <v>1</v>
      </c>
      <c r="G573" s="5" t="n">
        <f aca="false">INDEX(Léky!$H$2:$H$11,MATCH(C573,Léky!$A$2:$A$11,0))</f>
        <v>135</v>
      </c>
      <c r="H573" s="5" t="n">
        <f aca="false">F573*G573</f>
        <v>135</v>
      </c>
    </row>
    <row r="574" customFormat="false" ht="15" hidden="false" customHeight="false" outlineLevel="0" collapsed="false">
      <c r="A574" s="11" t="n">
        <v>45901</v>
      </c>
      <c r="B574" s="2" t="s">
        <v>144</v>
      </c>
      <c r="C574" s="2" t="s">
        <v>91</v>
      </c>
      <c r="D574" s="2" t="str">
        <f aca="false">INDEX(Léky!$B$2:$B$11,MATCH(C574,Léky!$A$2:$A$11,0))</f>
        <v>Ibuprofen 400 mg</v>
      </c>
      <c r="E574" s="2" t="str">
        <f aca="false">INDEX(Léky!$E$2:$E$11,MATCH(C574,Léky!$A$2:$A$11,0))</f>
        <v>Bolest</v>
      </c>
      <c r="F574" s="2" t="n">
        <v>2</v>
      </c>
      <c r="G574" s="5" t="n">
        <f aca="false">INDEX(Léky!$H$2:$H$11,MATCH(C574,Léky!$A$2:$A$11,0))</f>
        <v>65</v>
      </c>
      <c r="H574" s="5" t="n">
        <f aca="false">F574*G574</f>
        <v>130</v>
      </c>
    </row>
    <row r="575" customFormat="false" ht="15" hidden="false" customHeight="false" outlineLevel="0" collapsed="false">
      <c r="A575" s="11" t="n">
        <v>45901</v>
      </c>
      <c r="B575" s="2" t="s">
        <v>145</v>
      </c>
      <c r="C575" s="2" t="s">
        <v>42</v>
      </c>
      <c r="D575" s="2" t="str">
        <f aca="false">INDEX(Léky!$B$2:$B$11,MATCH(C575,Léky!$A$2:$A$11,0))</f>
        <v>Atorvastatin 20 mg</v>
      </c>
      <c r="E575" s="2" t="str">
        <f aca="false">INDEX(Léky!$E$2:$E$11,MATCH(C575,Léky!$A$2:$A$11,0))</f>
        <v>Cholesterol</v>
      </c>
      <c r="F575" s="2" t="n">
        <v>1</v>
      </c>
      <c r="G575" s="5" t="n">
        <f aca="false">INDEX(Léky!$H$2:$H$11,MATCH(C575,Léky!$A$2:$A$11,0))</f>
        <v>145</v>
      </c>
      <c r="H575" s="5" t="n">
        <f aca="false">F575*G575</f>
        <v>145</v>
      </c>
    </row>
    <row r="576" customFormat="false" ht="15" hidden="false" customHeight="false" outlineLevel="0" collapsed="false">
      <c r="A576" s="11" t="n">
        <v>45901</v>
      </c>
      <c r="B576" s="2" t="s">
        <v>145</v>
      </c>
      <c r="C576" s="2" t="s">
        <v>57</v>
      </c>
      <c r="D576" s="2" t="str">
        <f aca="false">INDEX(Léky!$B$2:$B$11,MATCH(C576,Léky!$A$2:$A$11,0))</f>
        <v>Levothyroxin 50 µg</v>
      </c>
      <c r="E576" s="2" t="str">
        <f aca="false">INDEX(Léky!$E$2:$E$11,MATCH(C576,Léky!$A$2:$A$11,0))</f>
        <v>Štítná žláza</v>
      </c>
      <c r="F576" s="2" t="n">
        <v>1</v>
      </c>
      <c r="G576" s="5" t="n">
        <f aca="false">INDEX(Léky!$H$2:$H$11,MATCH(C576,Léky!$A$2:$A$11,0))</f>
        <v>118</v>
      </c>
      <c r="H576" s="5" t="n">
        <f aca="false">F576*G576</f>
        <v>118</v>
      </c>
    </row>
    <row r="577" customFormat="false" ht="15" hidden="false" customHeight="false" outlineLevel="0" collapsed="false">
      <c r="A577" s="11" t="n">
        <v>45901</v>
      </c>
      <c r="B577" s="2" t="s">
        <v>146</v>
      </c>
      <c r="C577" s="2" t="s">
        <v>84</v>
      </c>
      <c r="D577" s="2" t="str">
        <f aca="false">INDEX(Léky!$B$2:$B$11,MATCH(C577,Léky!$A$2:$A$11,0))</f>
        <v>Amoxicilin 500 mg</v>
      </c>
      <c r="E577" s="2" t="str">
        <f aca="false">INDEX(Léky!$E$2:$E$11,MATCH(C577,Léky!$A$2:$A$11,0))</f>
        <v>Antibiotika</v>
      </c>
      <c r="F577" s="2" t="n">
        <v>1</v>
      </c>
      <c r="G577" s="5" t="n">
        <f aca="false">INDEX(Léky!$H$2:$H$11,MATCH(C577,Léky!$A$2:$A$11,0))</f>
        <v>120</v>
      </c>
      <c r="H577" s="5" t="n">
        <f aca="false">F577*G577</f>
        <v>120</v>
      </c>
    </row>
    <row r="578" customFormat="false" ht="15" hidden="false" customHeight="false" outlineLevel="0" collapsed="false">
      <c r="A578" s="11" t="n">
        <v>45901</v>
      </c>
      <c r="B578" s="2" t="s">
        <v>147</v>
      </c>
      <c r="C578" s="2" t="s">
        <v>34</v>
      </c>
      <c r="D578" s="2" t="str">
        <f aca="false">INDEX(Léky!$B$2:$B$11,MATCH(C578,Léky!$A$2:$A$11,0))</f>
        <v>Metformin 500 mg</v>
      </c>
      <c r="E578" s="2" t="str">
        <f aca="false">INDEX(Léky!$E$2:$E$11,MATCH(C578,Léky!$A$2:$A$11,0))</f>
        <v>Diabetes</v>
      </c>
      <c r="F578" s="2" t="n">
        <v>1</v>
      </c>
      <c r="G578" s="5" t="n">
        <f aca="false">INDEX(Léky!$H$2:$H$11,MATCH(C578,Léky!$A$2:$A$11,0))</f>
        <v>89</v>
      </c>
      <c r="H578" s="5" t="n">
        <f aca="false">F578*G578</f>
        <v>89</v>
      </c>
    </row>
    <row r="579" customFormat="false" ht="15" hidden="false" customHeight="false" outlineLevel="0" collapsed="false">
      <c r="A579" s="11" t="n">
        <v>45901</v>
      </c>
      <c r="B579" s="2" t="s">
        <v>149</v>
      </c>
      <c r="C579" s="2" t="s">
        <v>48</v>
      </c>
      <c r="D579" s="2" t="str">
        <f aca="false">INDEX(Léky!$B$2:$B$11,MATCH(C579,Léky!$A$2:$A$11,0))</f>
        <v>Amlodipin 5 mg</v>
      </c>
      <c r="E579" s="2" t="str">
        <f aca="false">INDEX(Léky!$E$2:$E$11,MATCH(C579,Léky!$A$2:$A$11,0))</f>
        <v>Krevní tlak</v>
      </c>
      <c r="F579" s="2" t="n">
        <v>1</v>
      </c>
      <c r="G579" s="5" t="n">
        <f aca="false">INDEX(Léky!$H$2:$H$11,MATCH(C579,Léky!$A$2:$A$11,0))</f>
        <v>72</v>
      </c>
      <c r="H579" s="5" t="n">
        <f aca="false">F579*G579</f>
        <v>72</v>
      </c>
    </row>
    <row r="580" customFormat="false" ht="15" hidden="false" customHeight="false" outlineLevel="0" collapsed="false">
      <c r="A580" s="11" t="n">
        <v>45901</v>
      </c>
      <c r="B580" s="2" t="s">
        <v>150</v>
      </c>
      <c r="C580" s="2" t="s">
        <v>53</v>
      </c>
      <c r="D580" s="2" t="str">
        <f aca="false">INDEX(Léky!$B$2:$B$11,MATCH(C580,Léky!$A$2:$A$11,0))</f>
        <v>Ramipril 5 mg</v>
      </c>
      <c r="E580" s="2" t="str">
        <f aca="false">INDEX(Léky!$E$2:$E$11,MATCH(C580,Léky!$A$2:$A$11,0))</f>
        <v>Krevní tlak</v>
      </c>
      <c r="F580" s="2" t="n">
        <v>1</v>
      </c>
      <c r="G580" s="5" t="n">
        <f aca="false">INDEX(Léky!$H$2:$H$11,MATCH(C580,Léky!$A$2:$A$11,0))</f>
        <v>98</v>
      </c>
      <c r="H580" s="5" t="n">
        <f aca="false">F580*G580</f>
        <v>98</v>
      </c>
    </row>
    <row r="581" customFormat="false" ht="15" hidden="false" customHeight="false" outlineLevel="0" collapsed="false">
      <c r="A581" s="11" t="n">
        <v>45901</v>
      </c>
      <c r="B581" s="2" t="s">
        <v>150</v>
      </c>
      <c r="C581" s="2" t="s">
        <v>57</v>
      </c>
      <c r="D581" s="2" t="str">
        <f aca="false">INDEX(Léky!$B$2:$B$11,MATCH(C581,Léky!$A$2:$A$11,0))</f>
        <v>Levothyroxin 50 µg</v>
      </c>
      <c r="E581" s="2" t="str">
        <f aca="false">INDEX(Léky!$E$2:$E$11,MATCH(C581,Léky!$A$2:$A$11,0))</f>
        <v>Štítná žláza</v>
      </c>
      <c r="F581" s="2" t="n">
        <v>1</v>
      </c>
      <c r="G581" s="5" t="n">
        <f aca="false">INDEX(Léky!$H$2:$H$11,MATCH(C581,Léky!$A$2:$A$11,0))</f>
        <v>118</v>
      </c>
      <c r="H581" s="5" t="n">
        <f aca="false">F581*G581</f>
        <v>118</v>
      </c>
    </row>
    <row r="582" customFormat="false" ht="15" hidden="false" customHeight="false" outlineLevel="0" collapsed="false">
      <c r="A582" s="11" t="n">
        <v>45901</v>
      </c>
      <c r="B582" s="2" t="s">
        <v>151</v>
      </c>
      <c r="C582" s="2" t="s">
        <v>63</v>
      </c>
      <c r="D582" s="2" t="str">
        <f aca="false">INDEX(Léky!$B$2:$B$11,MATCH(C582,Léky!$A$2:$A$11,0))</f>
        <v>Omeprazol 20 mg</v>
      </c>
      <c r="E582" s="2" t="str">
        <f aca="false">INDEX(Léky!$E$2:$E$11,MATCH(C582,Léky!$A$2:$A$11,0))</f>
        <v>Trávení</v>
      </c>
      <c r="F582" s="2" t="n">
        <v>1</v>
      </c>
      <c r="G582" s="5" t="n">
        <f aca="false">INDEX(Léky!$H$2:$H$11,MATCH(C582,Léky!$A$2:$A$11,0))</f>
        <v>135</v>
      </c>
      <c r="H582" s="5" t="n">
        <f aca="false">F582*G582</f>
        <v>135</v>
      </c>
    </row>
    <row r="583" customFormat="false" ht="15" hidden="false" customHeight="false" outlineLevel="0" collapsed="false">
      <c r="A583" s="11" t="n">
        <v>45901</v>
      </c>
      <c r="B583" s="2" t="s">
        <v>152</v>
      </c>
      <c r="C583" s="2" t="s">
        <v>53</v>
      </c>
      <c r="D583" s="2" t="str">
        <f aca="false">INDEX(Léky!$B$2:$B$11,MATCH(C583,Léky!$A$2:$A$11,0))</f>
        <v>Ramipril 5 mg</v>
      </c>
      <c r="E583" s="2" t="str">
        <f aca="false">INDEX(Léky!$E$2:$E$11,MATCH(C583,Léky!$A$2:$A$11,0))</f>
        <v>Krevní tlak</v>
      </c>
      <c r="F583" s="2" t="n">
        <v>1</v>
      </c>
      <c r="G583" s="5" t="n">
        <f aca="false">INDEX(Léky!$H$2:$H$11,MATCH(C583,Léky!$A$2:$A$11,0))</f>
        <v>98</v>
      </c>
      <c r="H583" s="5" t="n">
        <f aca="false">F583*G583</f>
        <v>98</v>
      </c>
    </row>
    <row r="584" customFormat="false" ht="15" hidden="false" customHeight="false" outlineLevel="0" collapsed="false">
      <c r="A584" s="11" t="n">
        <v>45901</v>
      </c>
      <c r="B584" s="2" t="s">
        <v>155</v>
      </c>
      <c r="C584" s="2" t="s">
        <v>42</v>
      </c>
      <c r="D584" s="2" t="str">
        <f aca="false">INDEX(Léky!$B$2:$B$11,MATCH(C584,Léky!$A$2:$A$11,0))</f>
        <v>Atorvastatin 20 mg</v>
      </c>
      <c r="E584" s="2" t="str">
        <f aca="false">INDEX(Léky!$E$2:$E$11,MATCH(C584,Léky!$A$2:$A$11,0))</f>
        <v>Cholesterol</v>
      </c>
      <c r="F584" s="2" t="n">
        <v>1</v>
      </c>
      <c r="G584" s="5" t="n">
        <f aca="false">INDEX(Léky!$H$2:$H$11,MATCH(C584,Léky!$A$2:$A$11,0))</f>
        <v>145</v>
      </c>
      <c r="H584" s="5" t="n">
        <f aca="false">F584*G584</f>
        <v>145</v>
      </c>
    </row>
    <row r="585" customFormat="false" ht="15" hidden="false" customHeight="false" outlineLevel="0" collapsed="false">
      <c r="A585" s="11" t="n">
        <v>45901</v>
      </c>
      <c r="B585" s="2" t="s">
        <v>155</v>
      </c>
      <c r="C585" s="2" t="s">
        <v>48</v>
      </c>
      <c r="D585" s="2" t="str">
        <f aca="false">INDEX(Léky!$B$2:$B$11,MATCH(C585,Léky!$A$2:$A$11,0))</f>
        <v>Amlodipin 5 mg</v>
      </c>
      <c r="E585" s="2" t="str">
        <f aca="false">INDEX(Léky!$E$2:$E$11,MATCH(C585,Léky!$A$2:$A$11,0))</f>
        <v>Krevní tlak</v>
      </c>
      <c r="F585" s="2" t="n">
        <v>1</v>
      </c>
      <c r="G585" s="5" t="n">
        <f aca="false">INDEX(Léky!$H$2:$H$11,MATCH(C585,Léky!$A$2:$A$11,0))</f>
        <v>72</v>
      </c>
      <c r="H585" s="5" t="n">
        <f aca="false">F585*G585</f>
        <v>72</v>
      </c>
    </row>
    <row r="586" customFormat="false" ht="15" hidden="false" customHeight="false" outlineLevel="0" collapsed="false">
      <c r="A586" s="11" t="n">
        <v>45901</v>
      </c>
      <c r="B586" s="2" t="s">
        <v>155</v>
      </c>
      <c r="C586" s="2" t="s">
        <v>84</v>
      </c>
      <c r="D586" s="2" t="str">
        <f aca="false">INDEX(Léky!$B$2:$B$11,MATCH(C586,Léky!$A$2:$A$11,0))</f>
        <v>Amoxicilin 500 mg</v>
      </c>
      <c r="E586" s="2" t="str">
        <f aca="false">INDEX(Léky!$E$2:$E$11,MATCH(C586,Léky!$A$2:$A$11,0))</f>
        <v>Antibiotika</v>
      </c>
      <c r="F586" s="2" t="n">
        <v>1</v>
      </c>
      <c r="G586" s="5" t="n">
        <f aca="false">INDEX(Léky!$H$2:$H$11,MATCH(C586,Léky!$A$2:$A$11,0))</f>
        <v>120</v>
      </c>
      <c r="H586" s="5" t="n">
        <f aca="false">F586*G586</f>
        <v>120</v>
      </c>
    </row>
    <row r="587" customFormat="false" ht="15" hidden="false" customHeight="false" outlineLevel="0" collapsed="false">
      <c r="A587" s="11" t="n">
        <v>45901</v>
      </c>
      <c r="B587" s="2" t="s">
        <v>156</v>
      </c>
      <c r="C587" s="2" t="s">
        <v>42</v>
      </c>
      <c r="D587" s="2" t="str">
        <f aca="false">INDEX(Léky!$B$2:$B$11,MATCH(C587,Léky!$A$2:$A$11,0))</f>
        <v>Atorvastatin 20 mg</v>
      </c>
      <c r="E587" s="2" t="str">
        <f aca="false">INDEX(Léky!$E$2:$E$11,MATCH(C587,Léky!$A$2:$A$11,0))</f>
        <v>Cholesterol</v>
      </c>
      <c r="F587" s="2" t="n">
        <v>1</v>
      </c>
      <c r="G587" s="5" t="n">
        <f aca="false">INDEX(Léky!$H$2:$H$11,MATCH(C587,Léky!$A$2:$A$11,0))</f>
        <v>145</v>
      </c>
      <c r="H587" s="5" t="n">
        <f aca="false">F587*G587</f>
        <v>145</v>
      </c>
    </row>
    <row r="588" customFormat="false" ht="15" hidden="false" customHeight="false" outlineLevel="0" collapsed="false">
      <c r="A588" s="11" t="n">
        <v>45901</v>
      </c>
      <c r="B588" s="2" t="s">
        <v>156</v>
      </c>
      <c r="C588" s="2" t="s">
        <v>63</v>
      </c>
      <c r="D588" s="2" t="str">
        <f aca="false">INDEX(Léky!$B$2:$B$11,MATCH(C588,Léky!$A$2:$A$11,0))</f>
        <v>Omeprazol 20 mg</v>
      </c>
      <c r="E588" s="2" t="str">
        <f aca="false">INDEX(Léky!$E$2:$E$11,MATCH(C588,Léky!$A$2:$A$11,0))</f>
        <v>Trávení</v>
      </c>
      <c r="F588" s="2" t="n">
        <v>1</v>
      </c>
      <c r="G588" s="5" t="n">
        <f aca="false">INDEX(Léky!$H$2:$H$11,MATCH(C588,Léky!$A$2:$A$11,0))</f>
        <v>135</v>
      </c>
      <c r="H588" s="5" t="n">
        <f aca="false">F588*G588</f>
        <v>135</v>
      </c>
    </row>
    <row r="589" customFormat="false" ht="15" hidden="false" customHeight="false" outlineLevel="0" collapsed="false">
      <c r="A589" s="11" t="n">
        <v>45901</v>
      </c>
      <c r="B589" s="2" t="s">
        <v>157</v>
      </c>
      <c r="C589" s="2" t="s">
        <v>42</v>
      </c>
      <c r="D589" s="2" t="str">
        <f aca="false">INDEX(Léky!$B$2:$B$11,MATCH(C589,Léky!$A$2:$A$11,0))</f>
        <v>Atorvastatin 20 mg</v>
      </c>
      <c r="E589" s="2" t="str">
        <f aca="false">INDEX(Léky!$E$2:$E$11,MATCH(C589,Léky!$A$2:$A$11,0))</f>
        <v>Cholesterol</v>
      </c>
      <c r="F589" s="2" t="n">
        <v>1</v>
      </c>
      <c r="G589" s="5" t="n">
        <f aca="false">INDEX(Léky!$H$2:$H$11,MATCH(C589,Léky!$A$2:$A$11,0))</f>
        <v>145</v>
      </c>
      <c r="H589" s="5" t="n">
        <f aca="false">F589*G589</f>
        <v>145</v>
      </c>
    </row>
    <row r="590" customFormat="false" ht="15" hidden="false" customHeight="false" outlineLevel="0" collapsed="false">
      <c r="A590" s="11" t="n">
        <v>45901</v>
      </c>
      <c r="B590" s="2" t="s">
        <v>157</v>
      </c>
      <c r="C590" s="2" t="s">
        <v>48</v>
      </c>
      <c r="D590" s="2" t="str">
        <f aca="false">INDEX(Léky!$B$2:$B$11,MATCH(C590,Léky!$A$2:$A$11,0))</f>
        <v>Amlodipin 5 mg</v>
      </c>
      <c r="E590" s="2" t="str">
        <f aca="false">INDEX(Léky!$E$2:$E$11,MATCH(C590,Léky!$A$2:$A$11,0))</f>
        <v>Krevní tlak</v>
      </c>
      <c r="F590" s="2" t="n">
        <v>1</v>
      </c>
      <c r="G590" s="5" t="n">
        <f aca="false">INDEX(Léky!$H$2:$H$11,MATCH(C590,Léky!$A$2:$A$11,0))</f>
        <v>72</v>
      </c>
      <c r="H590" s="5" t="n">
        <f aca="false">F590*G590</f>
        <v>72</v>
      </c>
    </row>
    <row r="591" customFormat="false" ht="15" hidden="false" customHeight="false" outlineLevel="0" collapsed="false">
      <c r="A591" s="11" t="n">
        <v>45901</v>
      </c>
      <c r="B591" s="2" t="s">
        <v>157</v>
      </c>
      <c r="C591" s="2" t="s">
        <v>57</v>
      </c>
      <c r="D591" s="2" t="str">
        <f aca="false">INDEX(Léky!$B$2:$B$11,MATCH(C591,Léky!$A$2:$A$11,0))</f>
        <v>Levothyroxin 50 µg</v>
      </c>
      <c r="E591" s="2" t="str">
        <f aca="false">INDEX(Léky!$E$2:$E$11,MATCH(C591,Léky!$A$2:$A$11,0))</f>
        <v>Štítná žláza</v>
      </c>
      <c r="F591" s="2" t="n">
        <v>1</v>
      </c>
      <c r="G591" s="5" t="n">
        <f aca="false">INDEX(Léky!$H$2:$H$11,MATCH(C591,Léky!$A$2:$A$11,0))</f>
        <v>118</v>
      </c>
      <c r="H591" s="5" t="n">
        <f aca="false">F591*G591</f>
        <v>118</v>
      </c>
    </row>
    <row r="592" customFormat="false" ht="15" hidden="false" customHeight="false" outlineLevel="0" collapsed="false">
      <c r="A592" s="11" t="n">
        <v>45901</v>
      </c>
      <c r="B592" s="2" t="s">
        <v>158</v>
      </c>
      <c r="C592" s="2" t="s">
        <v>76</v>
      </c>
      <c r="D592" s="2" t="str">
        <f aca="false">INDEX(Léky!$B$2:$B$11,MATCH(C592,Léky!$A$2:$A$11,0))</f>
        <v>Salbutamol inhalátor</v>
      </c>
      <c r="E592" s="2" t="str">
        <f aca="false">INDEX(Léky!$E$2:$E$11,MATCH(C592,Léky!$A$2:$A$11,0))</f>
        <v>Dýchací cesty</v>
      </c>
      <c r="F592" s="2" t="n">
        <v>1</v>
      </c>
      <c r="G592" s="5" t="n">
        <f aca="false">INDEX(Léky!$H$2:$H$11,MATCH(C592,Léky!$A$2:$A$11,0))</f>
        <v>165</v>
      </c>
      <c r="H592" s="5" t="n">
        <f aca="false">F592*G592</f>
        <v>165</v>
      </c>
    </row>
    <row r="593" customFormat="false" ht="15" hidden="false" customHeight="false" outlineLevel="0" collapsed="false">
      <c r="A593" s="11" t="n">
        <v>45901</v>
      </c>
      <c r="B593" s="2" t="s">
        <v>159</v>
      </c>
      <c r="C593" s="2" t="s">
        <v>57</v>
      </c>
      <c r="D593" s="2" t="str">
        <f aca="false">INDEX(Léky!$B$2:$B$11,MATCH(C593,Léky!$A$2:$A$11,0))</f>
        <v>Levothyroxin 50 µg</v>
      </c>
      <c r="E593" s="2" t="str">
        <f aca="false">INDEX(Léky!$E$2:$E$11,MATCH(C593,Léky!$A$2:$A$11,0))</f>
        <v>Štítná žláza</v>
      </c>
      <c r="F593" s="2" t="n">
        <v>1</v>
      </c>
      <c r="G593" s="5" t="n">
        <f aca="false">INDEX(Léky!$H$2:$H$11,MATCH(C593,Léky!$A$2:$A$11,0))</f>
        <v>118</v>
      </c>
      <c r="H593" s="5" t="n">
        <f aca="false">F593*G593</f>
        <v>118</v>
      </c>
    </row>
    <row r="594" customFormat="false" ht="15" hidden="false" customHeight="false" outlineLevel="0" collapsed="false">
      <c r="A594" s="11" t="n">
        <v>45901</v>
      </c>
      <c r="B594" s="2" t="s">
        <v>160</v>
      </c>
      <c r="C594" s="2" t="s">
        <v>48</v>
      </c>
      <c r="D594" s="2" t="str">
        <f aca="false">INDEX(Léky!$B$2:$B$11,MATCH(C594,Léky!$A$2:$A$11,0))</f>
        <v>Amlodipin 5 mg</v>
      </c>
      <c r="E594" s="2" t="str">
        <f aca="false">INDEX(Léky!$E$2:$E$11,MATCH(C594,Léky!$A$2:$A$11,0))</f>
        <v>Krevní tlak</v>
      </c>
      <c r="F594" s="2" t="n">
        <v>1</v>
      </c>
      <c r="G594" s="5" t="n">
        <f aca="false">INDEX(Léky!$H$2:$H$11,MATCH(C594,Léky!$A$2:$A$11,0))</f>
        <v>72</v>
      </c>
      <c r="H594" s="5" t="n">
        <f aca="false">F594*G594</f>
        <v>72</v>
      </c>
    </row>
    <row r="595" customFormat="false" ht="15" hidden="false" customHeight="false" outlineLevel="0" collapsed="false">
      <c r="A595" s="11" t="n">
        <v>45901</v>
      </c>
      <c r="B595" s="2" t="s">
        <v>160</v>
      </c>
      <c r="C595" s="2" t="s">
        <v>57</v>
      </c>
      <c r="D595" s="2" t="str">
        <f aca="false">INDEX(Léky!$B$2:$B$11,MATCH(C595,Léky!$A$2:$A$11,0))</f>
        <v>Levothyroxin 50 µg</v>
      </c>
      <c r="E595" s="2" t="str">
        <f aca="false">INDEX(Léky!$E$2:$E$11,MATCH(C595,Léky!$A$2:$A$11,0))</f>
        <v>Štítná žláza</v>
      </c>
      <c r="F595" s="2" t="n">
        <v>1</v>
      </c>
      <c r="G595" s="5" t="n">
        <f aca="false">INDEX(Léky!$H$2:$H$11,MATCH(C595,Léky!$A$2:$A$11,0))</f>
        <v>118</v>
      </c>
      <c r="H595" s="5" t="n">
        <f aca="false">F595*G595</f>
        <v>118</v>
      </c>
    </row>
    <row r="596" customFormat="false" ht="15" hidden="false" customHeight="false" outlineLevel="0" collapsed="false">
      <c r="A596" s="11" t="n">
        <v>45901</v>
      </c>
      <c r="B596" s="2" t="s">
        <v>161</v>
      </c>
      <c r="C596" s="2" t="s">
        <v>34</v>
      </c>
      <c r="D596" s="2" t="str">
        <f aca="false">INDEX(Léky!$B$2:$B$11,MATCH(C596,Léky!$A$2:$A$11,0))</f>
        <v>Metformin 500 mg</v>
      </c>
      <c r="E596" s="2" t="str">
        <f aca="false">INDEX(Léky!$E$2:$E$11,MATCH(C596,Léky!$A$2:$A$11,0))</f>
        <v>Diabetes</v>
      </c>
      <c r="F596" s="2" t="n">
        <v>1</v>
      </c>
      <c r="G596" s="5" t="n">
        <f aca="false">INDEX(Léky!$H$2:$H$11,MATCH(C596,Léky!$A$2:$A$11,0))</f>
        <v>89</v>
      </c>
      <c r="H596" s="5" t="n">
        <f aca="false">F596*G596</f>
        <v>89</v>
      </c>
    </row>
    <row r="597" customFormat="false" ht="15" hidden="false" customHeight="false" outlineLevel="0" collapsed="false">
      <c r="A597" s="11" t="n">
        <v>45901</v>
      </c>
      <c r="B597" s="2" t="s">
        <v>161</v>
      </c>
      <c r="C597" s="2" t="s">
        <v>53</v>
      </c>
      <c r="D597" s="2" t="str">
        <f aca="false">INDEX(Léky!$B$2:$B$11,MATCH(C597,Léky!$A$2:$A$11,0))</f>
        <v>Ramipril 5 mg</v>
      </c>
      <c r="E597" s="2" t="str">
        <f aca="false">INDEX(Léky!$E$2:$E$11,MATCH(C597,Léky!$A$2:$A$11,0))</f>
        <v>Krevní tlak</v>
      </c>
      <c r="F597" s="2" t="n">
        <v>1</v>
      </c>
      <c r="G597" s="5" t="n">
        <f aca="false">INDEX(Léky!$H$2:$H$11,MATCH(C597,Léky!$A$2:$A$11,0))</f>
        <v>98</v>
      </c>
      <c r="H597" s="5" t="n">
        <f aca="false">F597*G597</f>
        <v>98</v>
      </c>
    </row>
    <row r="598" customFormat="false" ht="15" hidden="false" customHeight="false" outlineLevel="0" collapsed="false">
      <c r="A598" s="11" t="n">
        <v>45901</v>
      </c>
      <c r="B598" s="2" t="s">
        <v>161</v>
      </c>
      <c r="C598" s="2" t="s">
        <v>57</v>
      </c>
      <c r="D598" s="2" t="str">
        <f aca="false">INDEX(Léky!$B$2:$B$11,MATCH(C598,Léky!$A$2:$A$11,0))</f>
        <v>Levothyroxin 50 µg</v>
      </c>
      <c r="E598" s="2" t="str">
        <f aca="false">INDEX(Léky!$E$2:$E$11,MATCH(C598,Léky!$A$2:$A$11,0))</f>
        <v>Štítná žláza</v>
      </c>
      <c r="F598" s="2" t="n">
        <v>1</v>
      </c>
      <c r="G598" s="5" t="n">
        <f aca="false">INDEX(Léky!$H$2:$H$11,MATCH(C598,Léky!$A$2:$A$11,0))</f>
        <v>118</v>
      </c>
      <c r="H598" s="5" t="n">
        <f aca="false">F598*G598</f>
        <v>118</v>
      </c>
    </row>
    <row r="599" customFormat="false" ht="15" hidden="false" customHeight="false" outlineLevel="0" collapsed="false">
      <c r="A599" s="11" t="n">
        <v>45901</v>
      </c>
      <c r="B599" s="2" t="s">
        <v>162</v>
      </c>
      <c r="C599" s="2" t="s">
        <v>42</v>
      </c>
      <c r="D599" s="2" t="str">
        <f aca="false">INDEX(Léky!$B$2:$B$11,MATCH(C599,Léky!$A$2:$A$11,0))</f>
        <v>Atorvastatin 20 mg</v>
      </c>
      <c r="E599" s="2" t="str">
        <f aca="false">INDEX(Léky!$E$2:$E$11,MATCH(C599,Léky!$A$2:$A$11,0))</f>
        <v>Cholesterol</v>
      </c>
      <c r="F599" s="2" t="n">
        <v>1</v>
      </c>
      <c r="G599" s="5" t="n">
        <f aca="false">INDEX(Léky!$H$2:$H$11,MATCH(C599,Léky!$A$2:$A$11,0))</f>
        <v>145</v>
      </c>
      <c r="H599" s="5" t="n">
        <f aca="false">F599*G599</f>
        <v>145</v>
      </c>
    </row>
    <row r="600" customFormat="false" ht="15" hidden="false" customHeight="false" outlineLevel="0" collapsed="false">
      <c r="A600" s="11" t="n">
        <v>45901</v>
      </c>
      <c r="B600" s="2" t="s">
        <v>162</v>
      </c>
      <c r="C600" s="2" t="s">
        <v>84</v>
      </c>
      <c r="D600" s="2" t="str">
        <f aca="false">INDEX(Léky!$B$2:$B$11,MATCH(C600,Léky!$A$2:$A$11,0))</f>
        <v>Amoxicilin 500 mg</v>
      </c>
      <c r="E600" s="2" t="str">
        <f aca="false">INDEX(Léky!$E$2:$E$11,MATCH(C600,Léky!$A$2:$A$11,0))</f>
        <v>Antibiotika</v>
      </c>
      <c r="F600" s="2" t="n">
        <v>1</v>
      </c>
      <c r="G600" s="5" t="n">
        <f aca="false">INDEX(Léky!$H$2:$H$11,MATCH(C600,Léky!$A$2:$A$11,0))</f>
        <v>120</v>
      </c>
      <c r="H600" s="5" t="n">
        <f aca="false">F600*G600</f>
        <v>120</v>
      </c>
    </row>
    <row r="601" customFormat="false" ht="15" hidden="false" customHeight="false" outlineLevel="0" collapsed="false">
      <c r="A601" s="11" t="n">
        <v>45901</v>
      </c>
      <c r="B601" s="2" t="s">
        <v>163</v>
      </c>
      <c r="C601" s="2" t="s">
        <v>63</v>
      </c>
      <c r="D601" s="2" t="str">
        <f aca="false">INDEX(Léky!$B$2:$B$11,MATCH(C601,Léky!$A$2:$A$11,0))</f>
        <v>Omeprazol 20 mg</v>
      </c>
      <c r="E601" s="2" t="str">
        <f aca="false">INDEX(Léky!$E$2:$E$11,MATCH(C601,Léky!$A$2:$A$11,0))</f>
        <v>Trávení</v>
      </c>
      <c r="F601" s="2" t="n">
        <v>1</v>
      </c>
      <c r="G601" s="5" t="n">
        <f aca="false">INDEX(Léky!$H$2:$H$11,MATCH(C601,Léky!$A$2:$A$11,0))</f>
        <v>135</v>
      </c>
      <c r="H601" s="5" t="n">
        <f aca="false">F601*G601</f>
        <v>135</v>
      </c>
    </row>
    <row r="602" customFormat="false" ht="15" hidden="false" customHeight="false" outlineLevel="0" collapsed="false">
      <c r="A602" s="11" t="n">
        <v>45901</v>
      </c>
      <c r="B602" s="2" t="s">
        <v>166</v>
      </c>
      <c r="C602" s="2" t="s">
        <v>57</v>
      </c>
      <c r="D602" s="2" t="str">
        <f aca="false">INDEX(Léky!$B$2:$B$11,MATCH(C602,Léky!$A$2:$A$11,0))</f>
        <v>Levothyroxin 50 µg</v>
      </c>
      <c r="E602" s="2" t="str">
        <f aca="false">INDEX(Léky!$E$2:$E$11,MATCH(C602,Léky!$A$2:$A$11,0))</f>
        <v>Štítná žláza</v>
      </c>
      <c r="F602" s="2" t="n">
        <v>1</v>
      </c>
      <c r="G602" s="5" t="n">
        <f aca="false">INDEX(Léky!$H$2:$H$11,MATCH(C602,Léky!$A$2:$A$11,0))</f>
        <v>118</v>
      </c>
      <c r="H602" s="5" t="n">
        <f aca="false">F602*G602</f>
        <v>118</v>
      </c>
    </row>
    <row r="603" customFormat="false" ht="15" hidden="false" customHeight="false" outlineLevel="0" collapsed="false">
      <c r="A603" s="11" t="n">
        <v>45901</v>
      </c>
      <c r="B603" s="2" t="s">
        <v>166</v>
      </c>
      <c r="C603" s="2" t="s">
        <v>91</v>
      </c>
      <c r="D603" s="2" t="str">
        <f aca="false">INDEX(Léky!$B$2:$B$11,MATCH(C603,Léky!$A$2:$A$11,0))</f>
        <v>Ibuprofen 400 mg</v>
      </c>
      <c r="E603" s="2" t="str">
        <f aca="false">INDEX(Léky!$E$2:$E$11,MATCH(C603,Léky!$A$2:$A$11,0))</f>
        <v>Bolest</v>
      </c>
      <c r="F603" s="2" t="n">
        <v>2</v>
      </c>
      <c r="G603" s="5" t="n">
        <f aca="false">INDEX(Léky!$H$2:$H$11,MATCH(C603,Léky!$A$2:$A$11,0))</f>
        <v>65</v>
      </c>
      <c r="H603" s="5" t="n">
        <f aca="false">F603*G603</f>
        <v>130</v>
      </c>
    </row>
    <row r="604" customFormat="false" ht="15" hidden="false" customHeight="false" outlineLevel="0" collapsed="false">
      <c r="A604" s="11" t="n">
        <v>45901</v>
      </c>
      <c r="B604" s="2" t="s">
        <v>168</v>
      </c>
      <c r="C604" s="2" t="s">
        <v>34</v>
      </c>
      <c r="D604" s="2" t="str">
        <f aca="false">INDEX(Léky!$B$2:$B$11,MATCH(C604,Léky!$A$2:$A$11,0))</f>
        <v>Metformin 500 mg</v>
      </c>
      <c r="E604" s="2" t="str">
        <f aca="false">INDEX(Léky!$E$2:$E$11,MATCH(C604,Léky!$A$2:$A$11,0))</f>
        <v>Diabetes</v>
      </c>
      <c r="F604" s="2" t="n">
        <v>1</v>
      </c>
      <c r="G604" s="5" t="n">
        <f aca="false">INDEX(Léky!$H$2:$H$11,MATCH(C604,Léky!$A$2:$A$11,0))</f>
        <v>89</v>
      </c>
      <c r="H604" s="5" t="n">
        <f aca="false">F604*G604</f>
        <v>89</v>
      </c>
    </row>
    <row r="605" customFormat="false" ht="15" hidden="false" customHeight="false" outlineLevel="0" collapsed="false">
      <c r="A605" s="11" t="n">
        <v>45901</v>
      </c>
      <c r="B605" s="2" t="s">
        <v>170</v>
      </c>
      <c r="C605" s="2" t="s">
        <v>63</v>
      </c>
      <c r="D605" s="2" t="str">
        <f aca="false">INDEX(Léky!$B$2:$B$11,MATCH(C605,Léky!$A$2:$A$11,0))</f>
        <v>Omeprazol 20 mg</v>
      </c>
      <c r="E605" s="2" t="str">
        <f aca="false">INDEX(Léky!$E$2:$E$11,MATCH(C605,Léky!$A$2:$A$11,0))</f>
        <v>Trávení</v>
      </c>
      <c r="F605" s="2" t="n">
        <v>1</v>
      </c>
      <c r="G605" s="5" t="n">
        <f aca="false">INDEX(Léky!$H$2:$H$11,MATCH(C605,Léky!$A$2:$A$11,0))</f>
        <v>135</v>
      </c>
      <c r="H605" s="5" t="n">
        <f aca="false">F605*G605</f>
        <v>135</v>
      </c>
    </row>
    <row r="606" customFormat="false" ht="15" hidden="false" customHeight="false" outlineLevel="0" collapsed="false">
      <c r="A606" s="11" t="n">
        <v>45901</v>
      </c>
      <c r="B606" s="2" t="s">
        <v>170</v>
      </c>
      <c r="C606" s="2" t="s">
        <v>84</v>
      </c>
      <c r="D606" s="2" t="str">
        <f aca="false">INDEX(Léky!$B$2:$B$11,MATCH(C606,Léky!$A$2:$A$11,0))</f>
        <v>Amoxicilin 500 mg</v>
      </c>
      <c r="E606" s="2" t="str">
        <f aca="false">INDEX(Léky!$E$2:$E$11,MATCH(C606,Léky!$A$2:$A$11,0))</f>
        <v>Antibiotika</v>
      </c>
      <c r="F606" s="2" t="n">
        <v>1</v>
      </c>
      <c r="G606" s="5" t="n">
        <f aca="false">INDEX(Léky!$H$2:$H$11,MATCH(C606,Léky!$A$2:$A$11,0))</f>
        <v>120</v>
      </c>
      <c r="H606" s="5" t="n">
        <f aca="false">F606*G606</f>
        <v>120</v>
      </c>
    </row>
    <row r="607" customFormat="false" ht="15" hidden="false" customHeight="false" outlineLevel="0" collapsed="false">
      <c r="A607" s="11" t="n">
        <v>45901</v>
      </c>
      <c r="B607" s="2" t="s">
        <v>171</v>
      </c>
      <c r="C607" s="2" t="s">
        <v>34</v>
      </c>
      <c r="D607" s="2" t="str">
        <f aca="false">INDEX(Léky!$B$2:$B$11,MATCH(C607,Léky!$A$2:$A$11,0))</f>
        <v>Metformin 500 mg</v>
      </c>
      <c r="E607" s="2" t="str">
        <f aca="false">INDEX(Léky!$E$2:$E$11,MATCH(C607,Léky!$A$2:$A$11,0))</f>
        <v>Diabetes</v>
      </c>
      <c r="F607" s="2" t="n">
        <v>1</v>
      </c>
      <c r="G607" s="5" t="n">
        <f aca="false">INDEX(Léky!$H$2:$H$11,MATCH(C607,Léky!$A$2:$A$11,0))</f>
        <v>89</v>
      </c>
      <c r="H607" s="5" t="n">
        <f aca="false">F607*G607</f>
        <v>89</v>
      </c>
    </row>
    <row r="608" customFormat="false" ht="15" hidden="false" customHeight="false" outlineLevel="0" collapsed="false">
      <c r="A608" s="11" t="n">
        <v>45901</v>
      </c>
      <c r="B608" s="2" t="s">
        <v>171</v>
      </c>
      <c r="C608" s="2" t="s">
        <v>48</v>
      </c>
      <c r="D608" s="2" t="str">
        <f aca="false">INDEX(Léky!$B$2:$B$11,MATCH(C608,Léky!$A$2:$A$11,0))</f>
        <v>Amlodipin 5 mg</v>
      </c>
      <c r="E608" s="2" t="str">
        <f aca="false">INDEX(Léky!$E$2:$E$11,MATCH(C608,Léky!$A$2:$A$11,0))</f>
        <v>Krevní tlak</v>
      </c>
      <c r="F608" s="2" t="n">
        <v>1</v>
      </c>
      <c r="G608" s="5" t="n">
        <f aca="false">INDEX(Léky!$H$2:$H$11,MATCH(C608,Léky!$A$2:$A$11,0))</f>
        <v>72</v>
      </c>
      <c r="H608" s="5" t="n">
        <f aca="false">F608*G608</f>
        <v>72</v>
      </c>
    </row>
    <row r="609" customFormat="false" ht="15" hidden="false" customHeight="false" outlineLevel="0" collapsed="false">
      <c r="A609" s="11" t="n">
        <v>45901</v>
      </c>
      <c r="B609" s="2" t="s">
        <v>171</v>
      </c>
      <c r="C609" s="2" t="s">
        <v>57</v>
      </c>
      <c r="D609" s="2" t="str">
        <f aca="false">INDEX(Léky!$B$2:$B$11,MATCH(C609,Léky!$A$2:$A$11,0))</f>
        <v>Levothyroxin 50 µg</v>
      </c>
      <c r="E609" s="2" t="str">
        <f aca="false">INDEX(Léky!$E$2:$E$11,MATCH(C609,Léky!$A$2:$A$11,0))</f>
        <v>Štítná žláza</v>
      </c>
      <c r="F609" s="2" t="n">
        <v>1</v>
      </c>
      <c r="G609" s="5" t="n">
        <f aca="false">INDEX(Léky!$H$2:$H$11,MATCH(C609,Léky!$A$2:$A$11,0))</f>
        <v>118</v>
      </c>
      <c r="H609" s="5" t="n">
        <f aca="false">F609*G609</f>
        <v>118</v>
      </c>
    </row>
    <row r="610" customFormat="false" ht="15" hidden="false" customHeight="false" outlineLevel="0" collapsed="false">
      <c r="A610" s="11" t="n">
        <v>45901</v>
      </c>
      <c r="B610" s="2" t="s">
        <v>172</v>
      </c>
      <c r="C610" s="2" t="s">
        <v>76</v>
      </c>
      <c r="D610" s="2" t="str">
        <f aca="false">INDEX(Léky!$B$2:$B$11,MATCH(C610,Léky!$A$2:$A$11,0))</f>
        <v>Salbutamol inhalátor</v>
      </c>
      <c r="E610" s="2" t="str">
        <f aca="false">INDEX(Léky!$E$2:$E$11,MATCH(C610,Léky!$A$2:$A$11,0))</f>
        <v>Dýchací cesty</v>
      </c>
      <c r="F610" s="2" t="n">
        <v>1</v>
      </c>
      <c r="G610" s="5" t="n">
        <f aca="false">INDEX(Léky!$H$2:$H$11,MATCH(C610,Léky!$A$2:$A$11,0))</f>
        <v>165</v>
      </c>
      <c r="H610" s="5" t="n">
        <f aca="false">F610*G610</f>
        <v>165</v>
      </c>
    </row>
    <row r="611" customFormat="false" ht="15" hidden="false" customHeight="false" outlineLevel="0" collapsed="false">
      <c r="A611" s="11" t="n">
        <v>45901</v>
      </c>
      <c r="B611" s="2" t="s">
        <v>172</v>
      </c>
      <c r="C611" s="2" t="s">
        <v>91</v>
      </c>
      <c r="D611" s="2" t="str">
        <f aca="false">INDEX(Léky!$B$2:$B$11,MATCH(C611,Léky!$A$2:$A$11,0))</f>
        <v>Ibuprofen 400 mg</v>
      </c>
      <c r="E611" s="2" t="str">
        <f aca="false">INDEX(Léky!$E$2:$E$11,MATCH(C611,Léky!$A$2:$A$11,0))</f>
        <v>Bolest</v>
      </c>
      <c r="F611" s="2" t="n">
        <v>1</v>
      </c>
      <c r="G611" s="5" t="n">
        <f aca="false">INDEX(Léky!$H$2:$H$11,MATCH(C611,Léky!$A$2:$A$11,0))</f>
        <v>65</v>
      </c>
      <c r="H611" s="5" t="n">
        <f aca="false">F611*G611</f>
        <v>65</v>
      </c>
    </row>
    <row r="612" customFormat="false" ht="15" hidden="false" customHeight="false" outlineLevel="0" collapsed="false">
      <c r="A612" s="11" t="n">
        <v>45901</v>
      </c>
      <c r="B612" s="2" t="s">
        <v>174</v>
      </c>
      <c r="C612" s="2" t="s">
        <v>48</v>
      </c>
      <c r="D612" s="2" t="str">
        <f aca="false">INDEX(Léky!$B$2:$B$11,MATCH(C612,Léky!$A$2:$A$11,0))</f>
        <v>Amlodipin 5 mg</v>
      </c>
      <c r="E612" s="2" t="str">
        <f aca="false">INDEX(Léky!$E$2:$E$11,MATCH(C612,Léky!$A$2:$A$11,0))</f>
        <v>Krevní tlak</v>
      </c>
      <c r="F612" s="2" t="n">
        <v>1</v>
      </c>
      <c r="G612" s="5" t="n">
        <f aca="false">INDEX(Léky!$H$2:$H$11,MATCH(C612,Léky!$A$2:$A$11,0))</f>
        <v>72</v>
      </c>
      <c r="H612" s="5" t="n">
        <f aca="false">F612*G612</f>
        <v>72</v>
      </c>
    </row>
    <row r="613" customFormat="false" ht="15" hidden="false" customHeight="false" outlineLevel="0" collapsed="false">
      <c r="A613" s="11" t="n">
        <v>45901</v>
      </c>
      <c r="B613" s="2" t="s">
        <v>174</v>
      </c>
      <c r="C613" s="2" t="s">
        <v>53</v>
      </c>
      <c r="D613" s="2" t="str">
        <f aca="false">INDEX(Léky!$B$2:$B$11,MATCH(C613,Léky!$A$2:$A$11,0))</f>
        <v>Ramipril 5 mg</v>
      </c>
      <c r="E613" s="2" t="str">
        <f aca="false">INDEX(Léky!$E$2:$E$11,MATCH(C613,Léky!$A$2:$A$11,0))</f>
        <v>Krevní tlak</v>
      </c>
      <c r="F613" s="2" t="n">
        <v>1</v>
      </c>
      <c r="G613" s="5" t="n">
        <f aca="false">INDEX(Léky!$H$2:$H$11,MATCH(C613,Léky!$A$2:$A$11,0))</f>
        <v>98</v>
      </c>
      <c r="H613" s="5" t="n">
        <f aca="false">F613*G613</f>
        <v>98</v>
      </c>
    </row>
    <row r="614" customFormat="false" ht="15" hidden="false" customHeight="false" outlineLevel="0" collapsed="false">
      <c r="A614" s="11" t="n">
        <v>45901</v>
      </c>
      <c r="B614" s="2" t="s">
        <v>175</v>
      </c>
      <c r="C614" s="2" t="s">
        <v>63</v>
      </c>
      <c r="D614" s="2" t="str">
        <f aca="false">INDEX(Léky!$B$2:$B$11,MATCH(C614,Léky!$A$2:$A$11,0))</f>
        <v>Omeprazol 20 mg</v>
      </c>
      <c r="E614" s="2" t="str">
        <f aca="false">INDEX(Léky!$E$2:$E$11,MATCH(C614,Léky!$A$2:$A$11,0))</f>
        <v>Trávení</v>
      </c>
      <c r="F614" s="2" t="n">
        <v>1</v>
      </c>
      <c r="G614" s="5" t="n">
        <f aca="false">INDEX(Léky!$H$2:$H$11,MATCH(C614,Léky!$A$2:$A$11,0))</f>
        <v>135</v>
      </c>
      <c r="H614" s="5" t="n">
        <f aca="false">F614*G614</f>
        <v>135</v>
      </c>
    </row>
    <row r="615" customFormat="false" ht="15" hidden="false" customHeight="false" outlineLevel="0" collapsed="false">
      <c r="A615" s="11" t="n">
        <v>45931</v>
      </c>
      <c r="B615" s="2" t="s">
        <v>103</v>
      </c>
      <c r="C615" s="2" t="s">
        <v>34</v>
      </c>
      <c r="D615" s="2" t="str">
        <f aca="false">INDEX(Léky!$B$2:$B$11,MATCH(C615,Léky!$A$2:$A$11,0))</f>
        <v>Metformin 500 mg</v>
      </c>
      <c r="E615" s="2" t="str">
        <f aca="false">INDEX(Léky!$E$2:$E$11,MATCH(C615,Léky!$A$2:$A$11,0))</f>
        <v>Diabetes</v>
      </c>
      <c r="F615" s="2" t="n">
        <v>1</v>
      </c>
      <c r="G615" s="5" t="n">
        <f aca="false">INDEX(Léky!$H$2:$H$11,MATCH(C615,Léky!$A$2:$A$11,0))</f>
        <v>89</v>
      </c>
      <c r="H615" s="5" t="n">
        <f aca="false">F615*G615</f>
        <v>89</v>
      </c>
    </row>
    <row r="616" customFormat="false" ht="15" hidden="false" customHeight="false" outlineLevel="0" collapsed="false">
      <c r="A616" s="11" t="n">
        <v>45931</v>
      </c>
      <c r="B616" s="2" t="s">
        <v>110</v>
      </c>
      <c r="C616" s="2" t="s">
        <v>63</v>
      </c>
      <c r="D616" s="2" t="str">
        <f aca="false">INDEX(Léky!$B$2:$B$11,MATCH(C616,Léky!$A$2:$A$11,0))</f>
        <v>Omeprazol 20 mg</v>
      </c>
      <c r="E616" s="2" t="str">
        <f aca="false">INDEX(Léky!$E$2:$E$11,MATCH(C616,Léky!$A$2:$A$11,0))</f>
        <v>Trávení</v>
      </c>
      <c r="F616" s="2" t="n">
        <v>1</v>
      </c>
      <c r="G616" s="5" t="n">
        <f aca="false">INDEX(Léky!$H$2:$H$11,MATCH(C616,Léky!$A$2:$A$11,0))</f>
        <v>135</v>
      </c>
      <c r="H616" s="5" t="n">
        <f aca="false">F616*G616</f>
        <v>135</v>
      </c>
    </row>
    <row r="617" customFormat="false" ht="15" hidden="false" customHeight="false" outlineLevel="0" collapsed="false">
      <c r="A617" s="11" t="n">
        <v>45931</v>
      </c>
      <c r="B617" s="2" t="s">
        <v>110</v>
      </c>
      <c r="C617" s="2" t="s">
        <v>84</v>
      </c>
      <c r="D617" s="2" t="str">
        <f aca="false">INDEX(Léky!$B$2:$B$11,MATCH(C617,Léky!$A$2:$A$11,0))</f>
        <v>Amoxicilin 500 mg</v>
      </c>
      <c r="E617" s="2" t="str">
        <f aca="false">INDEX(Léky!$E$2:$E$11,MATCH(C617,Léky!$A$2:$A$11,0))</f>
        <v>Antibiotika</v>
      </c>
      <c r="F617" s="2" t="n">
        <v>1</v>
      </c>
      <c r="G617" s="5" t="n">
        <f aca="false">INDEX(Léky!$H$2:$H$11,MATCH(C617,Léky!$A$2:$A$11,0))</f>
        <v>120</v>
      </c>
      <c r="H617" s="5" t="n">
        <f aca="false">F617*G617</f>
        <v>120</v>
      </c>
    </row>
    <row r="618" customFormat="false" ht="15" hidden="false" customHeight="false" outlineLevel="0" collapsed="false">
      <c r="A618" s="11" t="n">
        <v>45931</v>
      </c>
      <c r="B618" s="2" t="s">
        <v>114</v>
      </c>
      <c r="C618" s="2" t="s">
        <v>53</v>
      </c>
      <c r="D618" s="2" t="str">
        <f aca="false">INDEX(Léky!$B$2:$B$11,MATCH(C618,Léky!$A$2:$A$11,0))</f>
        <v>Ramipril 5 mg</v>
      </c>
      <c r="E618" s="2" t="str">
        <f aca="false">INDEX(Léky!$E$2:$E$11,MATCH(C618,Léky!$A$2:$A$11,0))</f>
        <v>Krevní tlak</v>
      </c>
      <c r="F618" s="2" t="n">
        <v>1</v>
      </c>
      <c r="G618" s="5" t="n">
        <f aca="false">INDEX(Léky!$H$2:$H$11,MATCH(C618,Léky!$A$2:$A$11,0))</f>
        <v>98</v>
      </c>
      <c r="H618" s="5" t="n">
        <f aca="false">F618*G618</f>
        <v>98</v>
      </c>
    </row>
    <row r="619" customFormat="false" ht="15" hidden="false" customHeight="false" outlineLevel="0" collapsed="false">
      <c r="A619" s="11" t="n">
        <v>45931</v>
      </c>
      <c r="B619" s="2" t="s">
        <v>118</v>
      </c>
      <c r="C619" s="2" t="s">
        <v>48</v>
      </c>
      <c r="D619" s="2" t="str">
        <f aca="false">INDEX(Léky!$B$2:$B$11,MATCH(C619,Léky!$A$2:$A$11,0))</f>
        <v>Amlodipin 5 mg</v>
      </c>
      <c r="E619" s="2" t="str">
        <f aca="false">INDEX(Léky!$E$2:$E$11,MATCH(C619,Léky!$A$2:$A$11,0))</f>
        <v>Krevní tlak</v>
      </c>
      <c r="F619" s="2" t="n">
        <v>1</v>
      </c>
      <c r="G619" s="5" t="n">
        <f aca="false">INDEX(Léky!$H$2:$H$11,MATCH(C619,Léky!$A$2:$A$11,0))</f>
        <v>72</v>
      </c>
      <c r="H619" s="5" t="n">
        <f aca="false">F619*G619</f>
        <v>72</v>
      </c>
    </row>
    <row r="620" customFormat="false" ht="15" hidden="false" customHeight="false" outlineLevel="0" collapsed="false">
      <c r="A620" s="11" t="n">
        <v>45931</v>
      </c>
      <c r="B620" s="2" t="s">
        <v>119</v>
      </c>
      <c r="C620" s="2" t="s">
        <v>70</v>
      </c>
      <c r="D620" s="2" t="str">
        <f aca="false">INDEX(Léky!$B$2:$B$11,MATCH(C620,Léky!$A$2:$A$11,0))</f>
        <v>Sertralin 50 mg</v>
      </c>
      <c r="E620" s="2" t="str">
        <f aca="false">INDEX(Léky!$E$2:$E$11,MATCH(C620,Léky!$A$2:$A$11,0))</f>
        <v>Psychiatrie</v>
      </c>
      <c r="F620" s="2" t="n">
        <v>1</v>
      </c>
      <c r="G620" s="5" t="n">
        <f aca="false">INDEX(Léky!$H$2:$H$11,MATCH(C620,Léky!$A$2:$A$11,0))</f>
        <v>210</v>
      </c>
      <c r="H620" s="5" t="n">
        <f aca="false">F620*G620</f>
        <v>210</v>
      </c>
    </row>
    <row r="621" customFormat="false" ht="15" hidden="false" customHeight="false" outlineLevel="0" collapsed="false">
      <c r="A621" s="11" t="n">
        <v>45931</v>
      </c>
      <c r="B621" s="2" t="s">
        <v>119</v>
      </c>
      <c r="C621" s="2" t="s">
        <v>84</v>
      </c>
      <c r="D621" s="2" t="str">
        <f aca="false">INDEX(Léky!$B$2:$B$11,MATCH(C621,Léky!$A$2:$A$11,0))</f>
        <v>Amoxicilin 500 mg</v>
      </c>
      <c r="E621" s="2" t="str">
        <f aca="false">INDEX(Léky!$E$2:$E$11,MATCH(C621,Léky!$A$2:$A$11,0))</f>
        <v>Antibiotika</v>
      </c>
      <c r="F621" s="2" t="n">
        <v>1</v>
      </c>
      <c r="G621" s="5" t="n">
        <f aca="false">INDEX(Léky!$H$2:$H$11,MATCH(C621,Léky!$A$2:$A$11,0))</f>
        <v>120</v>
      </c>
      <c r="H621" s="5" t="n">
        <f aca="false">F621*G621</f>
        <v>120</v>
      </c>
    </row>
    <row r="622" customFormat="false" ht="15" hidden="false" customHeight="false" outlineLevel="0" collapsed="false">
      <c r="A622" s="11" t="n">
        <v>45931</v>
      </c>
      <c r="B622" s="2" t="s">
        <v>121</v>
      </c>
      <c r="C622" s="2" t="s">
        <v>91</v>
      </c>
      <c r="D622" s="2" t="str">
        <f aca="false">INDEX(Léky!$B$2:$B$11,MATCH(C622,Léky!$A$2:$A$11,0))</f>
        <v>Ibuprofen 400 mg</v>
      </c>
      <c r="E622" s="2" t="str">
        <f aca="false">INDEX(Léky!$E$2:$E$11,MATCH(C622,Léky!$A$2:$A$11,0))</f>
        <v>Bolest</v>
      </c>
      <c r="F622" s="2" t="n">
        <v>1</v>
      </c>
      <c r="G622" s="5" t="n">
        <f aca="false">INDEX(Léky!$H$2:$H$11,MATCH(C622,Léky!$A$2:$A$11,0))</f>
        <v>65</v>
      </c>
      <c r="H622" s="5" t="n">
        <f aca="false">F622*G622</f>
        <v>65</v>
      </c>
    </row>
    <row r="623" customFormat="false" ht="15" hidden="false" customHeight="false" outlineLevel="0" collapsed="false">
      <c r="A623" s="11" t="n">
        <v>45931</v>
      </c>
      <c r="B623" s="2" t="s">
        <v>124</v>
      </c>
      <c r="C623" s="2" t="s">
        <v>48</v>
      </c>
      <c r="D623" s="2" t="str">
        <f aca="false">INDEX(Léky!$B$2:$B$11,MATCH(C623,Léky!$A$2:$A$11,0))</f>
        <v>Amlodipin 5 mg</v>
      </c>
      <c r="E623" s="2" t="str">
        <f aca="false">INDEX(Léky!$E$2:$E$11,MATCH(C623,Léky!$A$2:$A$11,0))</f>
        <v>Krevní tlak</v>
      </c>
      <c r="F623" s="2" t="n">
        <v>1</v>
      </c>
      <c r="G623" s="5" t="n">
        <f aca="false">INDEX(Léky!$H$2:$H$11,MATCH(C623,Léky!$A$2:$A$11,0))</f>
        <v>72</v>
      </c>
      <c r="H623" s="5" t="n">
        <f aca="false">F623*G623</f>
        <v>72</v>
      </c>
    </row>
    <row r="624" customFormat="false" ht="15" hidden="false" customHeight="false" outlineLevel="0" collapsed="false">
      <c r="A624" s="11" t="n">
        <v>45931</v>
      </c>
      <c r="B624" s="2" t="s">
        <v>125</v>
      </c>
      <c r="C624" s="2" t="s">
        <v>70</v>
      </c>
      <c r="D624" s="2" t="str">
        <f aca="false">INDEX(Léky!$B$2:$B$11,MATCH(C624,Léky!$A$2:$A$11,0))</f>
        <v>Sertralin 50 mg</v>
      </c>
      <c r="E624" s="2" t="str">
        <f aca="false">INDEX(Léky!$E$2:$E$11,MATCH(C624,Léky!$A$2:$A$11,0))</f>
        <v>Psychiatrie</v>
      </c>
      <c r="F624" s="2" t="n">
        <v>1</v>
      </c>
      <c r="G624" s="5" t="n">
        <f aca="false">INDEX(Léky!$H$2:$H$11,MATCH(C624,Léky!$A$2:$A$11,0))</f>
        <v>210</v>
      </c>
      <c r="H624" s="5" t="n">
        <f aca="false">F624*G624</f>
        <v>210</v>
      </c>
    </row>
    <row r="625" customFormat="false" ht="15" hidden="false" customHeight="false" outlineLevel="0" collapsed="false">
      <c r="A625" s="11" t="n">
        <v>45931</v>
      </c>
      <c r="B625" s="2" t="s">
        <v>128</v>
      </c>
      <c r="C625" s="2" t="s">
        <v>53</v>
      </c>
      <c r="D625" s="2" t="str">
        <f aca="false">INDEX(Léky!$B$2:$B$11,MATCH(C625,Léky!$A$2:$A$11,0))</f>
        <v>Ramipril 5 mg</v>
      </c>
      <c r="E625" s="2" t="str">
        <f aca="false">INDEX(Léky!$E$2:$E$11,MATCH(C625,Léky!$A$2:$A$11,0))</f>
        <v>Krevní tlak</v>
      </c>
      <c r="F625" s="2" t="n">
        <v>1</v>
      </c>
      <c r="G625" s="5" t="n">
        <f aca="false">INDEX(Léky!$H$2:$H$11,MATCH(C625,Léky!$A$2:$A$11,0))</f>
        <v>98</v>
      </c>
      <c r="H625" s="5" t="n">
        <f aca="false">F625*G625</f>
        <v>98</v>
      </c>
    </row>
    <row r="626" customFormat="false" ht="15" hidden="false" customHeight="false" outlineLevel="0" collapsed="false">
      <c r="A626" s="11" t="n">
        <v>45931</v>
      </c>
      <c r="B626" s="2" t="s">
        <v>128</v>
      </c>
      <c r="C626" s="2" t="s">
        <v>84</v>
      </c>
      <c r="D626" s="2" t="str">
        <f aca="false">INDEX(Léky!$B$2:$B$11,MATCH(C626,Léky!$A$2:$A$11,0))</f>
        <v>Amoxicilin 500 mg</v>
      </c>
      <c r="E626" s="2" t="str">
        <f aca="false">INDEX(Léky!$E$2:$E$11,MATCH(C626,Léky!$A$2:$A$11,0))</f>
        <v>Antibiotika</v>
      </c>
      <c r="F626" s="2" t="n">
        <v>1</v>
      </c>
      <c r="G626" s="5" t="n">
        <f aca="false">INDEX(Léky!$H$2:$H$11,MATCH(C626,Léky!$A$2:$A$11,0))</f>
        <v>120</v>
      </c>
      <c r="H626" s="5" t="n">
        <f aca="false">F626*G626</f>
        <v>120</v>
      </c>
    </row>
    <row r="627" customFormat="false" ht="15" hidden="false" customHeight="false" outlineLevel="0" collapsed="false">
      <c r="A627" s="11" t="n">
        <v>45931</v>
      </c>
      <c r="B627" s="2" t="s">
        <v>129</v>
      </c>
      <c r="C627" s="2" t="s">
        <v>34</v>
      </c>
      <c r="D627" s="2" t="str">
        <f aca="false">INDEX(Léky!$B$2:$B$11,MATCH(C627,Léky!$A$2:$A$11,0))</f>
        <v>Metformin 500 mg</v>
      </c>
      <c r="E627" s="2" t="str">
        <f aca="false">INDEX(Léky!$E$2:$E$11,MATCH(C627,Léky!$A$2:$A$11,0))</f>
        <v>Diabetes</v>
      </c>
      <c r="F627" s="2" t="n">
        <v>2</v>
      </c>
      <c r="G627" s="5" t="n">
        <f aca="false">INDEX(Léky!$H$2:$H$11,MATCH(C627,Léky!$A$2:$A$11,0))</f>
        <v>89</v>
      </c>
      <c r="H627" s="5" t="n">
        <f aca="false">F627*G627</f>
        <v>178</v>
      </c>
    </row>
    <row r="628" customFormat="false" ht="15" hidden="false" customHeight="false" outlineLevel="0" collapsed="false">
      <c r="A628" s="11" t="n">
        <v>45931</v>
      </c>
      <c r="B628" s="2" t="s">
        <v>129</v>
      </c>
      <c r="C628" s="2" t="s">
        <v>70</v>
      </c>
      <c r="D628" s="2" t="str">
        <f aca="false">INDEX(Léky!$B$2:$B$11,MATCH(C628,Léky!$A$2:$A$11,0))</f>
        <v>Sertralin 50 mg</v>
      </c>
      <c r="E628" s="2" t="str">
        <f aca="false">INDEX(Léky!$E$2:$E$11,MATCH(C628,Léky!$A$2:$A$11,0))</f>
        <v>Psychiatrie</v>
      </c>
      <c r="F628" s="2" t="n">
        <v>1</v>
      </c>
      <c r="G628" s="5" t="n">
        <f aca="false">INDEX(Léky!$H$2:$H$11,MATCH(C628,Léky!$A$2:$A$11,0))</f>
        <v>210</v>
      </c>
      <c r="H628" s="5" t="n">
        <f aca="false">F628*G628</f>
        <v>210</v>
      </c>
    </row>
    <row r="629" customFormat="false" ht="15" hidden="false" customHeight="false" outlineLevel="0" collapsed="false">
      <c r="A629" s="11" t="n">
        <v>45931</v>
      </c>
      <c r="B629" s="2" t="s">
        <v>130</v>
      </c>
      <c r="C629" s="2" t="s">
        <v>57</v>
      </c>
      <c r="D629" s="2" t="str">
        <f aca="false">INDEX(Léky!$B$2:$B$11,MATCH(C629,Léky!$A$2:$A$11,0))</f>
        <v>Levothyroxin 50 µg</v>
      </c>
      <c r="E629" s="2" t="str">
        <f aca="false">INDEX(Léky!$E$2:$E$11,MATCH(C629,Léky!$A$2:$A$11,0))</f>
        <v>Štítná žláza</v>
      </c>
      <c r="F629" s="2" t="n">
        <v>1</v>
      </c>
      <c r="G629" s="5" t="n">
        <f aca="false">INDEX(Léky!$H$2:$H$11,MATCH(C629,Léky!$A$2:$A$11,0))</f>
        <v>118</v>
      </c>
      <c r="H629" s="5" t="n">
        <f aca="false">F629*G629</f>
        <v>118</v>
      </c>
    </row>
    <row r="630" customFormat="false" ht="15" hidden="false" customHeight="false" outlineLevel="0" collapsed="false">
      <c r="A630" s="11" t="n">
        <v>45931</v>
      </c>
      <c r="B630" s="2" t="s">
        <v>131</v>
      </c>
      <c r="C630" s="2" t="s">
        <v>34</v>
      </c>
      <c r="D630" s="2" t="str">
        <f aca="false">INDEX(Léky!$B$2:$B$11,MATCH(C630,Léky!$A$2:$A$11,0))</f>
        <v>Metformin 500 mg</v>
      </c>
      <c r="E630" s="2" t="str">
        <f aca="false">INDEX(Léky!$E$2:$E$11,MATCH(C630,Léky!$A$2:$A$11,0))</f>
        <v>Diabetes</v>
      </c>
      <c r="F630" s="2" t="n">
        <v>1</v>
      </c>
      <c r="G630" s="5" t="n">
        <f aca="false">INDEX(Léky!$H$2:$H$11,MATCH(C630,Léky!$A$2:$A$11,0))</f>
        <v>89</v>
      </c>
      <c r="H630" s="5" t="n">
        <f aca="false">F630*G630</f>
        <v>89</v>
      </c>
    </row>
    <row r="631" customFormat="false" ht="15" hidden="false" customHeight="false" outlineLevel="0" collapsed="false">
      <c r="A631" s="11" t="n">
        <v>45931</v>
      </c>
      <c r="B631" s="2" t="s">
        <v>131</v>
      </c>
      <c r="C631" s="2" t="s">
        <v>53</v>
      </c>
      <c r="D631" s="2" t="str">
        <f aca="false">INDEX(Léky!$B$2:$B$11,MATCH(C631,Léky!$A$2:$A$11,0))</f>
        <v>Ramipril 5 mg</v>
      </c>
      <c r="E631" s="2" t="str">
        <f aca="false">INDEX(Léky!$E$2:$E$11,MATCH(C631,Léky!$A$2:$A$11,0))</f>
        <v>Krevní tlak</v>
      </c>
      <c r="F631" s="2" t="n">
        <v>1</v>
      </c>
      <c r="G631" s="5" t="n">
        <f aca="false">INDEX(Léky!$H$2:$H$11,MATCH(C631,Léky!$A$2:$A$11,0))</f>
        <v>98</v>
      </c>
      <c r="H631" s="5" t="n">
        <f aca="false">F631*G631</f>
        <v>98</v>
      </c>
    </row>
    <row r="632" customFormat="false" ht="15" hidden="false" customHeight="false" outlineLevel="0" collapsed="false">
      <c r="A632" s="11" t="n">
        <v>45931</v>
      </c>
      <c r="B632" s="2" t="s">
        <v>131</v>
      </c>
      <c r="C632" s="2" t="s">
        <v>63</v>
      </c>
      <c r="D632" s="2" t="str">
        <f aca="false">INDEX(Léky!$B$2:$B$11,MATCH(C632,Léky!$A$2:$A$11,0))</f>
        <v>Omeprazol 20 mg</v>
      </c>
      <c r="E632" s="2" t="str">
        <f aca="false">INDEX(Léky!$E$2:$E$11,MATCH(C632,Léky!$A$2:$A$11,0))</f>
        <v>Trávení</v>
      </c>
      <c r="F632" s="2" t="n">
        <v>1</v>
      </c>
      <c r="G632" s="5" t="n">
        <f aca="false">INDEX(Léky!$H$2:$H$11,MATCH(C632,Léky!$A$2:$A$11,0))</f>
        <v>135</v>
      </c>
      <c r="H632" s="5" t="n">
        <f aca="false">F632*G632</f>
        <v>135</v>
      </c>
    </row>
    <row r="633" customFormat="false" ht="15" hidden="false" customHeight="false" outlineLevel="0" collapsed="false">
      <c r="A633" s="11" t="n">
        <v>45931</v>
      </c>
      <c r="B633" s="2" t="s">
        <v>133</v>
      </c>
      <c r="C633" s="2" t="s">
        <v>48</v>
      </c>
      <c r="D633" s="2" t="str">
        <f aca="false">INDEX(Léky!$B$2:$B$11,MATCH(C633,Léky!$A$2:$A$11,0))</f>
        <v>Amlodipin 5 mg</v>
      </c>
      <c r="E633" s="2" t="str">
        <f aca="false">INDEX(Léky!$E$2:$E$11,MATCH(C633,Léky!$A$2:$A$11,0))</f>
        <v>Krevní tlak</v>
      </c>
      <c r="F633" s="2" t="n">
        <v>1</v>
      </c>
      <c r="G633" s="5" t="n">
        <f aca="false">INDEX(Léky!$H$2:$H$11,MATCH(C633,Léky!$A$2:$A$11,0))</f>
        <v>72</v>
      </c>
      <c r="H633" s="5" t="n">
        <f aca="false">F633*G633</f>
        <v>72</v>
      </c>
    </row>
    <row r="634" customFormat="false" ht="15" hidden="false" customHeight="false" outlineLevel="0" collapsed="false">
      <c r="A634" s="11" t="n">
        <v>45931</v>
      </c>
      <c r="B634" s="2" t="s">
        <v>133</v>
      </c>
      <c r="C634" s="2" t="s">
        <v>70</v>
      </c>
      <c r="D634" s="2" t="str">
        <f aca="false">INDEX(Léky!$B$2:$B$11,MATCH(C634,Léky!$A$2:$A$11,0))</f>
        <v>Sertralin 50 mg</v>
      </c>
      <c r="E634" s="2" t="str">
        <f aca="false">INDEX(Léky!$E$2:$E$11,MATCH(C634,Léky!$A$2:$A$11,0))</f>
        <v>Psychiatrie</v>
      </c>
      <c r="F634" s="2" t="n">
        <v>1</v>
      </c>
      <c r="G634" s="5" t="n">
        <f aca="false">INDEX(Léky!$H$2:$H$11,MATCH(C634,Léky!$A$2:$A$11,0))</f>
        <v>210</v>
      </c>
      <c r="H634" s="5" t="n">
        <f aca="false">F634*G634</f>
        <v>210</v>
      </c>
    </row>
    <row r="635" customFormat="false" ht="15" hidden="false" customHeight="false" outlineLevel="0" collapsed="false">
      <c r="A635" s="11" t="n">
        <v>45931</v>
      </c>
      <c r="B635" s="2" t="s">
        <v>134</v>
      </c>
      <c r="C635" s="2" t="s">
        <v>53</v>
      </c>
      <c r="D635" s="2" t="str">
        <f aca="false">INDEX(Léky!$B$2:$B$11,MATCH(C635,Léky!$A$2:$A$11,0))</f>
        <v>Ramipril 5 mg</v>
      </c>
      <c r="E635" s="2" t="str">
        <f aca="false">INDEX(Léky!$E$2:$E$11,MATCH(C635,Léky!$A$2:$A$11,0))</f>
        <v>Krevní tlak</v>
      </c>
      <c r="F635" s="2" t="n">
        <v>1</v>
      </c>
      <c r="G635" s="5" t="n">
        <f aca="false">INDEX(Léky!$H$2:$H$11,MATCH(C635,Léky!$A$2:$A$11,0))</f>
        <v>98</v>
      </c>
      <c r="H635" s="5" t="n">
        <f aca="false">F635*G635</f>
        <v>98</v>
      </c>
    </row>
    <row r="636" customFormat="false" ht="15" hidden="false" customHeight="false" outlineLevel="0" collapsed="false">
      <c r="A636" s="11" t="n">
        <v>45931</v>
      </c>
      <c r="B636" s="2" t="s">
        <v>135</v>
      </c>
      <c r="C636" s="2" t="s">
        <v>63</v>
      </c>
      <c r="D636" s="2" t="str">
        <f aca="false">INDEX(Léky!$B$2:$B$11,MATCH(C636,Léky!$A$2:$A$11,0))</f>
        <v>Omeprazol 20 mg</v>
      </c>
      <c r="E636" s="2" t="str">
        <f aca="false">INDEX(Léky!$E$2:$E$11,MATCH(C636,Léky!$A$2:$A$11,0))</f>
        <v>Trávení</v>
      </c>
      <c r="F636" s="2" t="n">
        <v>1</v>
      </c>
      <c r="G636" s="5" t="n">
        <f aca="false">INDEX(Léky!$H$2:$H$11,MATCH(C636,Léky!$A$2:$A$11,0))</f>
        <v>135</v>
      </c>
      <c r="H636" s="5" t="n">
        <f aca="false">F636*G636</f>
        <v>135</v>
      </c>
    </row>
    <row r="637" customFormat="false" ht="15" hidden="false" customHeight="false" outlineLevel="0" collapsed="false">
      <c r="A637" s="11" t="n">
        <v>45931</v>
      </c>
      <c r="B637" s="2" t="s">
        <v>136</v>
      </c>
      <c r="C637" s="2" t="s">
        <v>34</v>
      </c>
      <c r="D637" s="2" t="str">
        <f aca="false">INDEX(Léky!$B$2:$B$11,MATCH(C637,Léky!$A$2:$A$11,0))</f>
        <v>Metformin 500 mg</v>
      </c>
      <c r="E637" s="2" t="str">
        <f aca="false">INDEX(Léky!$E$2:$E$11,MATCH(C637,Léky!$A$2:$A$11,0))</f>
        <v>Diabetes</v>
      </c>
      <c r="F637" s="2" t="n">
        <v>1</v>
      </c>
      <c r="G637" s="5" t="n">
        <f aca="false">INDEX(Léky!$H$2:$H$11,MATCH(C637,Léky!$A$2:$A$11,0))</f>
        <v>89</v>
      </c>
      <c r="H637" s="5" t="n">
        <f aca="false">F637*G637</f>
        <v>89</v>
      </c>
    </row>
    <row r="638" customFormat="false" ht="15" hidden="false" customHeight="false" outlineLevel="0" collapsed="false">
      <c r="A638" s="11" t="n">
        <v>45931</v>
      </c>
      <c r="B638" s="2" t="s">
        <v>137</v>
      </c>
      <c r="C638" s="2" t="s">
        <v>70</v>
      </c>
      <c r="D638" s="2" t="str">
        <f aca="false">INDEX(Léky!$B$2:$B$11,MATCH(C638,Léky!$A$2:$A$11,0))</f>
        <v>Sertralin 50 mg</v>
      </c>
      <c r="E638" s="2" t="str">
        <f aca="false">INDEX(Léky!$E$2:$E$11,MATCH(C638,Léky!$A$2:$A$11,0))</f>
        <v>Psychiatrie</v>
      </c>
      <c r="F638" s="2" t="n">
        <v>1</v>
      </c>
      <c r="G638" s="5" t="n">
        <f aca="false">INDEX(Léky!$H$2:$H$11,MATCH(C638,Léky!$A$2:$A$11,0))</f>
        <v>210</v>
      </c>
      <c r="H638" s="5" t="n">
        <f aca="false">F638*G638</f>
        <v>210</v>
      </c>
    </row>
    <row r="639" customFormat="false" ht="15" hidden="false" customHeight="false" outlineLevel="0" collapsed="false">
      <c r="A639" s="11" t="n">
        <v>45931</v>
      </c>
      <c r="B639" s="2" t="s">
        <v>137</v>
      </c>
      <c r="C639" s="2" t="s">
        <v>84</v>
      </c>
      <c r="D639" s="2" t="str">
        <f aca="false">INDEX(Léky!$B$2:$B$11,MATCH(C639,Léky!$A$2:$A$11,0))</f>
        <v>Amoxicilin 500 mg</v>
      </c>
      <c r="E639" s="2" t="str">
        <f aca="false">INDEX(Léky!$E$2:$E$11,MATCH(C639,Léky!$A$2:$A$11,0))</f>
        <v>Antibiotika</v>
      </c>
      <c r="F639" s="2" t="n">
        <v>1</v>
      </c>
      <c r="G639" s="5" t="n">
        <f aca="false">INDEX(Léky!$H$2:$H$11,MATCH(C639,Léky!$A$2:$A$11,0))</f>
        <v>120</v>
      </c>
      <c r="H639" s="5" t="n">
        <f aca="false">F639*G639</f>
        <v>120</v>
      </c>
    </row>
    <row r="640" customFormat="false" ht="15" hidden="false" customHeight="false" outlineLevel="0" collapsed="false">
      <c r="A640" s="11" t="n">
        <v>45931</v>
      </c>
      <c r="B640" s="2" t="s">
        <v>138</v>
      </c>
      <c r="C640" s="2" t="s">
        <v>48</v>
      </c>
      <c r="D640" s="2" t="str">
        <f aca="false">INDEX(Léky!$B$2:$B$11,MATCH(C640,Léky!$A$2:$A$11,0))</f>
        <v>Amlodipin 5 mg</v>
      </c>
      <c r="E640" s="2" t="str">
        <f aca="false">INDEX(Léky!$E$2:$E$11,MATCH(C640,Léky!$A$2:$A$11,0))</f>
        <v>Krevní tlak</v>
      </c>
      <c r="F640" s="2" t="n">
        <v>1</v>
      </c>
      <c r="G640" s="5" t="n">
        <f aca="false">INDEX(Léky!$H$2:$H$11,MATCH(C640,Léky!$A$2:$A$11,0))</f>
        <v>72</v>
      </c>
      <c r="H640" s="5" t="n">
        <f aca="false">F640*G640</f>
        <v>72</v>
      </c>
    </row>
    <row r="641" customFormat="false" ht="15" hidden="false" customHeight="false" outlineLevel="0" collapsed="false">
      <c r="A641" s="11" t="n">
        <v>45931</v>
      </c>
      <c r="B641" s="2" t="s">
        <v>138</v>
      </c>
      <c r="C641" s="2" t="s">
        <v>57</v>
      </c>
      <c r="D641" s="2" t="str">
        <f aca="false">INDEX(Léky!$B$2:$B$11,MATCH(C641,Léky!$A$2:$A$11,0))</f>
        <v>Levothyroxin 50 µg</v>
      </c>
      <c r="E641" s="2" t="str">
        <f aca="false">INDEX(Léky!$E$2:$E$11,MATCH(C641,Léky!$A$2:$A$11,0))</f>
        <v>Štítná žláza</v>
      </c>
      <c r="F641" s="2" t="n">
        <v>1</v>
      </c>
      <c r="G641" s="5" t="n">
        <f aca="false">INDEX(Léky!$H$2:$H$11,MATCH(C641,Léky!$A$2:$A$11,0))</f>
        <v>118</v>
      </c>
      <c r="H641" s="5" t="n">
        <f aca="false">F641*G641</f>
        <v>118</v>
      </c>
    </row>
    <row r="642" customFormat="false" ht="15" hidden="false" customHeight="false" outlineLevel="0" collapsed="false">
      <c r="A642" s="11" t="n">
        <v>45931</v>
      </c>
      <c r="B642" s="2" t="s">
        <v>138</v>
      </c>
      <c r="C642" s="2" t="s">
        <v>63</v>
      </c>
      <c r="D642" s="2" t="str">
        <f aca="false">INDEX(Léky!$B$2:$B$11,MATCH(C642,Léky!$A$2:$A$11,0))</f>
        <v>Omeprazol 20 mg</v>
      </c>
      <c r="E642" s="2" t="str">
        <f aca="false">INDEX(Léky!$E$2:$E$11,MATCH(C642,Léky!$A$2:$A$11,0))</f>
        <v>Trávení</v>
      </c>
      <c r="F642" s="2" t="n">
        <v>1</v>
      </c>
      <c r="G642" s="5" t="n">
        <f aca="false">INDEX(Léky!$H$2:$H$11,MATCH(C642,Léky!$A$2:$A$11,0))</f>
        <v>135</v>
      </c>
      <c r="H642" s="5" t="n">
        <f aca="false">F642*G642</f>
        <v>135</v>
      </c>
    </row>
    <row r="643" customFormat="false" ht="15" hidden="false" customHeight="false" outlineLevel="0" collapsed="false">
      <c r="A643" s="11" t="n">
        <v>45931</v>
      </c>
      <c r="B643" s="2" t="s">
        <v>140</v>
      </c>
      <c r="C643" s="2" t="s">
        <v>42</v>
      </c>
      <c r="D643" s="2" t="str">
        <f aca="false">INDEX(Léky!$B$2:$B$11,MATCH(C643,Léky!$A$2:$A$11,0))</f>
        <v>Atorvastatin 20 mg</v>
      </c>
      <c r="E643" s="2" t="str">
        <f aca="false">INDEX(Léky!$E$2:$E$11,MATCH(C643,Léky!$A$2:$A$11,0))</f>
        <v>Cholesterol</v>
      </c>
      <c r="F643" s="2" t="n">
        <v>1</v>
      </c>
      <c r="G643" s="5" t="n">
        <f aca="false">INDEX(Léky!$H$2:$H$11,MATCH(C643,Léky!$A$2:$A$11,0))</f>
        <v>145</v>
      </c>
      <c r="H643" s="5" t="n">
        <f aca="false">F643*G643</f>
        <v>145</v>
      </c>
    </row>
    <row r="644" customFormat="false" ht="15" hidden="false" customHeight="false" outlineLevel="0" collapsed="false">
      <c r="A644" s="11" t="n">
        <v>45931</v>
      </c>
      <c r="B644" s="2" t="s">
        <v>140</v>
      </c>
      <c r="C644" s="2" t="s">
        <v>48</v>
      </c>
      <c r="D644" s="2" t="str">
        <f aca="false">INDEX(Léky!$B$2:$B$11,MATCH(C644,Léky!$A$2:$A$11,0))</f>
        <v>Amlodipin 5 mg</v>
      </c>
      <c r="E644" s="2" t="str">
        <f aca="false">INDEX(Léky!$E$2:$E$11,MATCH(C644,Léky!$A$2:$A$11,0))</f>
        <v>Krevní tlak</v>
      </c>
      <c r="F644" s="2" t="n">
        <v>1</v>
      </c>
      <c r="G644" s="5" t="n">
        <f aca="false">INDEX(Léky!$H$2:$H$11,MATCH(C644,Léky!$A$2:$A$11,0))</f>
        <v>72</v>
      </c>
      <c r="H644" s="5" t="n">
        <f aca="false">F644*G644</f>
        <v>72</v>
      </c>
    </row>
    <row r="645" customFormat="false" ht="15" hidden="false" customHeight="false" outlineLevel="0" collapsed="false">
      <c r="A645" s="11" t="n">
        <v>45931</v>
      </c>
      <c r="B645" s="2" t="s">
        <v>140</v>
      </c>
      <c r="C645" s="2" t="s">
        <v>57</v>
      </c>
      <c r="D645" s="2" t="str">
        <f aca="false">INDEX(Léky!$B$2:$B$11,MATCH(C645,Léky!$A$2:$A$11,0))</f>
        <v>Levothyroxin 50 µg</v>
      </c>
      <c r="E645" s="2" t="str">
        <f aca="false">INDEX(Léky!$E$2:$E$11,MATCH(C645,Léky!$A$2:$A$11,0))</f>
        <v>Štítná žláza</v>
      </c>
      <c r="F645" s="2" t="n">
        <v>1</v>
      </c>
      <c r="G645" s="5" t="n">
        <f aca="false">INDEX(Léky!$H$2:$H$11,MATCH(C645,Léky!$A$2:$A$11,0))</f>
        <v>118</v>
      </c>
      <c r="H645" s="5" t="n">
        <f aca="false">F645*G645</f>
        <v>118</v>
      </c>
    </row>
    <row r="646" customFormat="false" ht="15" hidden="false" customHeight="false" outlineLevel="0" collapsed="false">
      <c r="A646" s="11" t="n">
        <v>45931</v>
      </c>
      <c r="B646" s="2" t="s">
        <v>141</v>
      </c>
      <c r="C646" s="2" t="s">
        <v>53</v>
      </c>
      <c r="D646" s="2" t="str">
        <f aca="false">INDEX(Léky!$B$2:$B$11,MATCH(C646,Léky!$A$2:$A$11,0))</f>
        <v>Ramipril 5 mg</v>
      </c>
      <c r="E646" s="2" t="str">
        <f aca="false">INDEX(Léky!$E$2:$E$11,MATCH(C646,Léky!$A$2:$A$11,0))</f>
        <v>Krevní tlak</v>
      </c>
      <c r="F646" s="2" t="n">
        <v>1</v>
      </c>
      <c r="G646" s="5" t="n">
        <f aca="false">INDEX(Léky!$H$2:$H$11,MATCH(C646,Léky!$A$2:$A$11,0))</f>
        <v>98</v>
      </c>
      <c r="H646" s="5" t="n">
        <f aca="false">F646*G646</f>
        <v>98</v>
      </c>
    </row>
    <row r="647" customFormat="false" ht="15" hidden="false" customHeight="false" outlineLevel="0" collapsed="false">
      <c r="A647" s="11" t="n">
        <v>45931</v>
      </c>
      <c r="B647" s="2" t="s">
        <v>142</v>
      </c>
      <c r="C647" s="2" t="s">
        <v>48</v>
      </c>
      <c r="D647" s="2" t="str">
        <f aca="false">INDEX(Léky!$B$2:$B$11,MATCH(C647,Léky!$A$2:$A$11,0))</f>
        <v>Amlodipin 5 mg</v>
      </c>
      <c r="E647" s="2" t="str">
        <f aca="false">INDEX(Léky!$E$2:$E$11,MATCH(C647,Léky!$A$2:$A$11,0))</f>
        <v>Krevní tlak</v>
      </c>
      <c r="F647" s="2" t="n">
        <v>1</v>
      </c>
      <c r="G647" s="5" t="n">
        <f aca="false">INDEX(Léky!$H$2:$H$11,MATCH(C647,Léky!$A$2:$A$11,0))</f>
        <v>72</v>
      </c>
      <c r="H647" s="5" t="n">
        <f aca="false">F647*G647</f>
        <v>72</v>
      </c>
    </row>
    <row r="648" customFormat="false" ht="15" hidden="false" customHeight="false" outlineLevel="0" collapsed="false">
      <c r="A648" s="11" t="n">
        <v>45931</v>
      </c>
      <c r="B648" s="2" t="s">
        <v>144</v>
      </c>
      <c r="C648" s="2" t="s">
        <v>63</v>
      </c>
      <c r="D648" s="2" t="str">
        <f aca="false">INDEX(Léky!$B$2:$B$11,MATCH(C648,Léky!$A$2:$A$11,0))</f>
        <v>Omeprazol 20 mg</v>
      </c>
      <c r="E648" s="2" t="str">
        <f aca="false">INDEX(Léky!$E$2:$E$11,MATCH(C648,Léky!$A$2:$A$11,0))</f>
        <v>Trávení</v>
      </c>
      <c r="F648" s="2" t="n">
        <v>1</v>
      </c>
      <c r="G648" s="5" t="n">
        <f aca="false">INDEX(Léky!$H$2:$H$11,MATCH(C648,Léky!$A$2:$A$11,0))</f>
        <v>135</v>
      </c>
      <c r="H648" s="5" t="n">
        <f aca="false">F648*G648</f>
        <v>135</v>
      </c>
    </row>
    <row r="649" customFormat="false" ht="15" hidden="false" customHeight="false" outlineLevel="0" collapsed="false">
      <c r="A649" s="11" t="n">
        <v>45931</v>
      </c>
      <c r="B649" s="2" t="s">
        <v>145</v>
      </c>
      <c r="C649" s="2" t="s">
        <v>42</v>
      </c>
      <c r="D649" s="2" t="str">
        <f aca="false">INDEX(Léky!$B$2:$B$11,MATCH(C649,Léky!$A$2:$A$11,0))</f>
        <v>Atorvastatin 20 mg</v>
      </c>
      <c r="E649" s="2" t="str">
        <f aca="false">INDEX(Léky!$E$2:$E$11,MATCH(C649,Léky!$A$2:$A$11,0))</f>
        <v>Cholesterol</v>
      </c>
      <c r="F649" s="2" t="n">
        <v>1</v>
      </c>
      <c r="G649" s="5" t="n">
        <f aca="false">INDEX(Léky!$H$2:$H$11,MATCH(C649,Léky!$A$2:$A$11,0))</f>
        <v>145</v>
      </c>
      <c r="H649" s="5" t="n">
        <f aca="false">F649*G649</f>
        <v>145</v>
      </c>
    </row>
    <row r="650" customFormat="false" ht="15" hidden="false" customHeight="false" outlineLevel="0" collapsed="false">
      <c r="A650" s="11" t="n">
        <v>45931</v>
      </c>
      <c r="B650" s="2" t="s">
        <v>145</v>
      </c>
      <c r="C650" s="2" t="s">
        <v>57</v>
      </c>
      <c r="D650" s="2" t="str">
        <f aca="false">INDEX(Léky!$B$2:$B$11,MATCH(C650,Léky!$A$2:$A$11,0))</f>
        <v>Levothyroxin 50 µg</v>
      </c>
      <c r="E650" s="2" t="str">
        <f aca="false">INDEX(Léky!$E$2:$E$11,MATCH(C650,Léky!$A$2:$A$11,0))</f>
        <v>Štítná žláza</v>
      </c>
      <c r="F650" s="2" t="n">
        <v>1</v>
      </c>
      <c r="G650" s="5" t="n">
        <f aca="false">INDEX(Léky!$H$2:$H$11,MATCH(C650,Léky!$A$2:$A$11,0))</f>
        <v>118</v>
      </c>
      <c r="H650" s="5" t="n">
        <f aca="false">F650*G650</f>
        <v>118</v>
      </c>
    </row>
    <row r="651" customFormat="false" ht="15" hidden="false" customHeight="false" outlineLevel="0" collapsed="false">
      <c r="A651" s="11" t="n">
        <v>45931</v>
      </c>
      <c r="B651" s="2" t="s">
        <v>147</v>
      </c>
      <c r="C651" s="2" t="s">
        <v>34</v>
      </c>
      <c r="D651" s="2" t="str">
        <f aca="false">INDEX(Léky!$B$2:$B$11,MATCH(C651,Léky!$A$2:$A$11,0))</f>
        <v>Metformin 500 mg</v>
      </c>
      <c r="E651" s="2" t="str">
        <f aca="false">INDEX(Léky!$E$2:$E$11,MATCH(C651,Léky!$A$2:$A$11,0))</f>
        <v>Diabetes</v>
      </c>
      <c r="F651" s="2" t="n">
        <v>1</v>
      </c>
      <c r="G651" s="5" t="n">
        <f aca="false">INDEX(Léky!$H$2:$H$11,MATCH(C651,Léky!$A$2:$A$11,0))</f>
        <v>89</v>
      </c>
      <c r="H651" s="5" t="n">
        <f aca="false">F651*G651</f>
        <v>89</v>
      </c>
    </row>
    <row r="652" customFormat="false" ht="15" hidden="false" customHeight="false" outlineLevel="0" collapsed="false">
      <c r="A652" s="11" t="n">
        <v>45931</v>
      </c>
      <c r="B652" s="2" t="s">
        <v>148</v>
      </c>
      <c r="C652" s="2" t="s">
        <v>76</v>
      </c>
      <c r="D652" s="2" t="str">
        <f aca="false">INDEX(Léky!$B$2:$B$11,MATCH(C652,Léky!$A$2:$A$11,0))</f>
        <v>Salbutamol inhalátor</v>
      </c>
      <c r="E652" s="2" t="str">
        <f aca="false">INDEX(Léky!$E$2:$E$11,MATCH(C652,Léky!$A$2:$A$11,0))</f>
        <v>Dýchací cesty</v>
      </c>
      <c r="F652" s="2" t="n">
        <v>1</v>
      </c>
      <c r="G652" s="5" t="n">
        <f aca="false">INDEX(Léky!$H$2:$H$11,MATCH(C652,Léky!$A$2:$A$11,0))</f>
        <v>165</v>
      </c>
      <c r="H652" s="5" t="n">
        <f aca="false">F652*G652</f>
        <v>165</v>
      </c>
    </row>
    <row r="653" customFormat="false" ht="15" hidden="false" customHeight="false" outlineLevel="0" collapsed="false">
      <c r="A653" s="11" t="n">
        <v>45931</v>
      </c>
      <c r="B653" s="2" t="s">
        <v>149</v>
      </c>
      <c r="C653" s="2" t="s">
        <v>48</v>
      </c>
      <c r="D653" s="2" t="str">
        <f aca="false">INDEX(Léky!$B$2:$B$11,MATCH(C653,Léky!$A$2:$A$11,0))</f>
        <v>Amlodipin 5 mg</v>
      </c>
      <c r="E653" s="2" t="str">
        <f aca="false">INDEX(Léky!$E$2:$E$11,MATCH(C653,Léky!$A$2:$A$11,0))</f>
        <v>Krevní tlak</v>
      </c>
      <c r="F653" s="2" t="n">
        <v>1</v>
      </c>
      <c r="G653" s="5" t="n">
        <f aca="false">INDEX(Léky!$H$2:$H$11,MATCH(C653,Léky!$A$2:$A$11,0))</f>
        <v>72</v>
      </c>
      <c r="H653" s="5" t="n">
        <f aca="false">F653*G653</f>
        <v>72</v>
      </c>
    </row>
    <row r="654" customFormat="false" ht="15" hidden="false" customHeight="false" outlineLevel="0" collapsed="false">
      <c r="A654" s="11" t="n">
        <v>45931</v>
      </c>
      <c r="B654" s="2" t="s">
        <v>150</v>
      </c>
      <c r="C654" s="2" t="s">
        <v>53</v>
      </c>
      <c r="D654" s="2" t="str">
        <f aca="false">INDEX(Léky!$B$2:$B$11,MATCH(C654,Léky!$A$2:$A$11,0))</f>
        <v>Ramipril 5 mg</v>
      </c>
      <c r="E654" s="2" t="str">
        <f aca="false">INDEX(Léky!$E$2:$E$11,MATCH(C654,Léky!$A$2:$A$11,0))</f>
        <v>Krevní tlak</v>
      </c>
      <c r="F654" s="2" t="n">
        <v>1</v>
      </c>
      <c r="G654" s="5" t="n">
        <f aca="false">INDEX(Léky!$H$2:$H$11,MATCH(C654,Léky!$A$2:$A$11,0))</f>
        <v>98</v>
      </c>
      <c r="H654" s="5" t="n">
        <f aca="false">F654*G654</f>
        <v>98</v>
      </c>
    </row>
    <row r="655" customFormat="false" ht="15" hidden="false" customHeight="false" outlineLevel="0" collapsed="false">
      <c r="A655" s="11" t="n">
        <v>45931</v>
      </c>
      <c r="B655" s="2" t="s">
        <v>150</v>
      </c>
      <c r="C655" s="2" t="s">
        <v>84</v>
      </c>
      <c r="D655" s="2" t="str">
        <f aca="false">INDEX(Léky!$B$2:$B$11,MATCH(C655,Léky!$A$2:$A$11,0))</f>
        <v>Amoxicilin 500 mg</v>
      </c>
      <c r="E655" s="2" t="str">
        <f aca="false">INDEX(Léky!$E$2:$E$11,MATCH(C655,Léky!$A$2:$A$11,0))</f>
        <v>Antibiotika</v>
      </c>
      <c r="F655" s="2" t="n">
        <v>1</v>
      </c>
      <c r="G655" s="5" t="n">
        <f aca="false">INDEX(Léky!$H$2:$H$11,MATCH(C655,Léky!$A$2:$A$11,0))</f>
        <v>120</v>
      </c>
      <c r="H655" s="5" t="n">
        <f aca="false">F655*G655</f>
        <v>120</v>
      </c>
    </row>
    <row r="656" customFormat="false" ht="15" hidden="false" customHeight="false" outlineLevel="0" collapsed="false">
      <c r="A656" s="11" t="n">
        <v>45931</v>
      </c>
      <c r="B656" s="2" t="s">
        <v>151</v>
      </c>
      <c r="C656" s="2" t="s">
        <v>63</v>
      </c>
      <c r="D656" s="2" t="str">
        <f aca="false">INDEX(Léky!$B$2:$B$11,MATCH(C656,Léky!$A$2:$A$11,0))</f>
        <v>Omeprazol 20 mg</v>
      </c>
      <c r="E656" s="2" t="str">
        <f aca="false">INDEX(Léky!$E$2:$E$11,MATCH(C656,Léky!$A$2:$A$11,0))</f>
        <v>Trávení</v>
      </c>
      <c r="F656" s="2" t="n">
        <v>1</v>
      </c>
      <c r="G656" s="5" t="n">
        <f aca="false">INDEX(Léky!$H$2:$H$11,MATCH(C656,Léky!$A$2:$A$11,0))</f>
        <v>135</v>
      </c>
      <c r="H656" s="5" t="n">
        <f aca="false">F656*G656</f>
        <v>135</v>
      </c>
    </row>
    <row r="657" customFormat="false" ht="15" hidden="false" customHeight="false" outlineLevel="0" collapsed="false">
      <c r="A657" s="11" t="n">
        <v>45931</v>
      </c>
      <c r="B657" s="2" t="s">
        <v>151</v>
      </c>
      <c r="C657" s="2" t="s">
        <v>91</v>
      </c>
      <c r="D657" s="2" t="str">
        <f aca="false">INDEX(Léky!$B$2:$B$11,MATCH(C657,Léky!$A$2:$A$11,0))</f>
        <v>Ibuprofen 400 mg</v>
      </c>
      <c r="E657" s="2" t="str">
        <f aca="false">INDEX(Léky!$E$2:$E$11,MATCH(C657,Léky!$A$2:$A$11,0))</f>
        <v>Bolest</v>
      </c>
      <c r="F657" s="2" t="n">
        <v>1</v>
      </c>
      <c r="G657" s="5" t="n">
        <f aca="false">INDEX(Léky!$H$2:$H$11,MATCH(C657,Léky!$A$2:$A$11,0))</f>
        <v>65</v>
      </c>
      <c r="H657" s="5" t="n">
        <f aca="false">F657*G657</f>
        <v>65</v>
      </c>
    </row>
    <row r="658" customFormat="false" ht="15" hidden="false" customHeight="false" outlineLevel="0" collapsed="false">
      <c r="A658" s="11" t="n">
        <v>45931</v>
      </c>
      <c r="B658" s="2" t="s">
        <v>152</v>
      </c>
      <c r="C658" s="2" t="s">
        <v>53</v>
      </c>
      <c r="D658" s="2" t="str">
        <f aca="false">INDEX(Léky!$B$2:$B$11,MATCH(C658,Léky!$A$2:$A$11,0))</f>
        <v>Ramipril 5 mg</v>
      </c>
      <c r="E658" s="2" t="str">
        <f aca="false">INDEX(Léky!$E$2:$E$11,MATCH(C658,Léky!$A$2:$A$11,0))</f>
        <v>Krevní tlak</v>
      </c>
      <c r="F658" s="2" t="n">
        <v>1</v>
      </c>
      <c r="G658" s="5" t="n">
        <f aca="false">INDEX(Léky!$H$2:$H$11,MATCH(C658,Léky!$A$2:$A$11,0))</f>
        <v>98</v>
      </c>
      <c r="H658" s="5" t="n">
        <f aca="false">F658*G658</f>
        <v>98</v>
      </c>
    </row>
    <row r="659" customFormat="false" ht="15" hidden="false" customHeight="false" outlineLevel="0" collapsed="false">
      <c r="A659" s="11" t="n">
        <v>45931</v>
      </c>
      <c r="B659" s="2" t="s">
        <v>153</v>
      </c>
      <c r="C659" s="2" t="s">
        <v>84</v>
      </c>
      <c r="D659" s="2" t="str">
        <f aca="false">INDEX(Léky!$B$2:$B$11,MATCH(C659,Léky!$A$2:$A$11,0))</f>
        <v>Amoxicilin 500 mg</v>
      </c>
      <c r="E659" s="2" t="str">
        <f aca="false">INDEX(Léky!$E$2:$E$11,MATCH(C659,Léky!$A$2:$A$11,0))</f>
        <v>Antibiotika</v>
      </c>
      <c r="F659" s="2" t="n">
        <v>1</v>
      </c>
      <c r="G659" s="5" t="n">
        <f aca="false">INDEX(Léky!$H$2:$H$11,MATCH(C659,Léky!$A$2:$A$11,0))</f>
        <v>120</v>
      </c>
      <c r="H659" s="5" t="n">
        <f aca="false">F659*G659</f>
        <v>120</v>
      </c>
    </row>
    <row r="660" customFormat="false" ht="15" hidden="false" customHeight="false" outlineLevel="0" collapsed="false">
      <c r="A660" s="11" t="n">
        <v>45931</v>
      </c>
      <c r="B660" s="2" t="s">
        <v>154</v>
      </c>
      <c r="C660" s="2" t="s">
        <v>48</v>
      </c>
      <c r="D660" s="2" t="str">
        <f aca="false">INDEX(Léky!$B$2:$B$11,MATCH(C660,Léky!$A$2:$A$11,0))</f>
        <v>Amlodipin 5 mg</v>
      </c>
      <c r="E660" s="2" t="str">
        <f aca="false">INDEX(Léky!$E$2:$E$11,MATCH(C660,Léky!$A$2:$A$11,0))</f>
        <v>Krevní tlak</v>
      </c>
      <c r="F660" s="2" t="n">
        <v>1</v>
      </c>
      <c r="G660" s="5" t="n">
        <f aca="false">INDEX(Léky!$H$2:$H$11,MATCH(C660,Léky!$A$2:$A$11,0))</f>
        <v>72</v>
      </c>
      <c r="H660" s="5" t="n">
        <f aca="false">F660*G660</f>
        <v>72</v>
      </c>
    </row>
    <row r="661" customFormat="false" ht="15" hidden="false" customHeight="false" outlineLevel="0" collapsed="false">
      <c r="A661" s="11" t="n">
        <v>45931</v>
      </c>
      <c r="B661" s="2" t="s">
        <v>155</v>
      </c>
      <c r="C661" s="2" t="s">
        <v>42</v>
      </c>
      <c r="D661" s="2" t="str">
        <f aca="false">INDEX(Léky!$B$2:$B$11,MATCH(C661,Léky!$A$2:$A$11,0))</f>
        <v>Atorvastatin 20 mg</v>
      </c>
      <c r="E661" s="2" t="str">
        <f aca="false">INDEX(Léky!$E$2:$E$11,MATCH(C661,Léky!$A$2:$A$11,0))</f>
        <v>Cholesterol</v>
      </c>
      <c r="F661" s="2" t="n">
        <v>1</v>
      </c>
      <c r="G661" s="5" t="n">
        <f aca="false">INDEX(Léky!$H$2:$H$11,MATCH(C661,Léky!$A$2:$A$11,0))</f>
        <v>145</v>
      </c>
      <c r="H661" s="5" t="n">
        <f aca="false">F661*G661</f>
        <v>145</v>
      </c>
    </row>
    <row r="662" customFormat="false" ht="15" hidden="false" customHeight="false" outlineLevel="0" collapsed="false">
      <c r="A662" s="11" t="n">
        <v>45931</v>
      </c>
      <c r="B662" s="2" t="s">
        <v>155</v>
      </c>
      <c r="C662" s="2" t="s">
        <v>48</v>
      </c>
      <c r="D662" s="2" t="str">
        <f aca="false">INDEX(Léky!$B$2:$B$11,MATCH(C662,Léky!$A$2:$A$11,0))</f>
        <v>Amlodipin 5 mg</v>
      </c>
      <c r="E662" s="2" t="str">
        <f aca="false">INDEX(Léky!$E$2:$E$11,MATCH(C662,Léky!$A$2:$A$11,0))</f>
        <v>Krevní tlak</v>
      </c>
      <c r="F662" s="2" t="n">
        <v>1</v>
      </c>
      <c r="G662" s="5" t="n">
        <f aca="false">INDEX(Léky!$H$2:$H$11,MATCH(C662,Léky!$A$2:$A$11,0))</f>
        <v>72</v>
      </c>
      <c r="H662" s="5" t="n">
        <f aca="false">F662*G662</f>
        <v>72</v>
      </c>
    </row>
    <row r="663" customFormat="false" ht="15" hidden="false" customHeight="false" outlineLevel="0" collapsed="false">
      <c r="A663" s="11" t="n">
        <v>45931</v>
      </c>
      <c r="B663" s="2" t="s">
        <v>156</v>
      </c>
      <c r="C663" s="2" t="s">
        <v>53</v>
      </c>
      <c r="D663" s="2" t="str">
        <f aca="false">INDEX(Léky!$B$2:$B$11,MATCH(C663,Léky!$A$2:$A$11,0))</f>
        <v>Ramipril 5 mg</v>
      </c>
      <c r="E663" s="2" t="str">
        <f aca="false">INDEX(Léky!$E$2:$E$11,MATCH(C663,Léky!$A$2:$A$11,0))</f>
        <v>Krevní tlak</v>
      </c>
      <c r="F663" s="2" t="n">
        <v>1</v>
      </c>
      <c r="G663" s="5" t="n">
        <f aca="false">INDEX(Léky!$H$2:$H$11,MATCH(C663,Léky!$A$2:$A$11,0))</f>
        <v>98</v>
      </c>
      <c r="H663" s="5" t="n">
        <f aca="false">F663*G663</f>
        <v>98</v>
      </c>
    </row>
    <row r="664" customFormat="false" ht="15" hidden="false" customHeight="false" outlineLevel="0" collapsed="false">
      <c r="A664" s="11" t="n">
        <v>45931</v>
      </c>
      <c r="B664" s="2" t="s">
        <v>156</v>
      </c>
      <c r="C664" s="2" t="s">
        <v>63</v>
      </c>
      <c r="D664" s="2" t="str">
        <f aca="false">INDEX(Léky!$B$2:$B$11,MATCH(C664,Léky!$A$2:$A$11,0))</f>
        <v>Omeprazol 20 mg</v>
      </c>
      <c r="E664" s="2" t="str">
        <f aca="false">INDEX(Léky!$E$2:$E$11,MATCH(C664,Léky!$A$2:$A$11,0))</f>
        <v>Trávení</v>
      </c>
      <c r="F664" s="2" t="n">
        <v>1</v>
      </c>
      <c r="G664" s="5" t="n">
        <f aca="false">INDEX(Léky!$H$2:$H$11,MATCH(C664,Léky!$A$2:$A$11,0))</f>
        <v>135</v>
      </c>
      <c r="H664" s="5" t="n">
        <f aca="false">F664*G664</f>
        <v>135</v>
      </c>
    </row>
    <row r="665" customFormat="false" ht="15" hidden="false" customHeight="false" outlineLevel="0" collapsed="false">
      <c r="A665" s="11" t="n">
        <v>45931</v>
      </c>
      <c r="B665" s="2" t="s">
        <v>157</v>
      </c>
      <c r="C665" s="2" t="s">
        <v>42</v>
      </c>
      <c r="D665" s="2" t="str">
        <f aca="false">INDEX(Léky!$B$2:$B$11,MATCH(C665,Léky!$A$2:$A$11,0))</f>
        <v>Atorvastatin 20 mg</v>
      </c>
      <c r="E665" s="2" t="str">
        <f aca="false">INDEX(Léky!$E$2:$E$11,MATCH(C665,Léky!$A$2:$A$11,0))</f>
        <v>Cholesterol</v>
      </c>
      <c r="F665" s="2" t="n">
        <v>1</v>
      </c>
      <c r="G665" s="5" t="n">
        <f aca="false">INDEX(Léky!$H$2:$H$11,MATCH(C665,Léky!$A$2:$A$11,0))</f>
        <v>145</v>
      </c>
      <c r="H665" s="5" t="n">
        <f aca="false">F665*G665</f>
        <v>145</v>
      </c>
    </row>
    <row r="666" customFormat="false" ht="15" hidden="false" customHeight="false" outlineLevel="0" collapsed="false">
      <c r="A666" s="11" t="n">
        <v>45931</v>
      </c>
      <c r="B666" s="2" t="s">
        <v>157</v>
      </c>
      <c r="C666" s="2" t="s">
        <v>48</v>
      </c>
      <c r="D666" s="2" t="str">
        <f aca="false">INDEX(Léky!$B$2:$B$11,MATCH(C666,Léky!$A$2:$A$11,0))</f>
        <v>Amlodipin 5 mg</v>
      </c>
      <c r="E666" s="2" t="str">
        <f aca="false">INDEX(Léky!$E$2:$E$11,MATCH(C666,Léky!$A$2:$A$11,0))</f>
        <v>Krevní tlak</v>
      </c>
      <c r="F666" s="2" t="n">
        <v>1</v>
      </c>
      <c r="G666" s="5" t="n">
        <f aca="false">INDEX(Léky!$H$2:$H$11,MATCH(C666,Léky!$A$2:$A$11,0))</f>
        <v>72</v>
      </c>
      <c r="H666" s="5" t="n">
        <f aca="false">F666*G666</f>
        <v>72</v>
      </c>
    </row>
    <row r="667" customFormat="false" ht="15" hidden="false" customHeight="false" outlineLevel="0" collapsed="false">
      <c r="A667" s="11" t="n">
        <v>45931</v>
      </c>
      <c r="B667" s="2" t="s">
        <v>157</v>
      </c>
      <c r="C667" s="2" t="s">
        <v>57</v>
      </c>
      <c r="D667" s="2" t="str">
        <f aca="false">INDEX(Léky!$B$2:$B$11,MATCH(C667,Léky!$A$2:$A$11,0))</f>
        <v>Levothyroxin 50 µg</v>
      </c>
      <c r="E667" s="2" t="str">
        <f aca="false">INDEX(Léky!$E$2:$E$11,MATCH(C667,Léky!$A$2:$A$11,0))</f>
        <v>Štítná žláza</v>
      </c>
      <c r="F667" s="2" t="n">
        <v>1</v>
      </c>
      <c r="G667" s="5" t="n">
        <f aca="false">INDEX(Léky!$H$2:$H$11,MATCH(C667,Léky!$A$2:$A$11,0))</f>
        <v>118</v>
      </c>
      <c r="H667" s="5" t="n">
        <f aca="false">F667*G667</f>
        <v>118</v>
      </c>
    </row>
    <row r="668" customFormat="false" ht="15" hidden="false" customHeight="false" outlineLevel="0" collapsed="false">
      <c r="A668" s="11" t="n">
        <v>45931</v>
      </c>
      <c r="B668" s="2" t="s">
        <v>157</v>
      </c>
      <c r="C668" s="2" t="s">
        <v>84</v>
      </c>
      <c r="D668" s="2" t="str">
        <f aca="false">INDEX(Léky!$B$2:$B$11,MATCH(C668,Léky!$A$2:$A$11,0))</f>
        <v>Amoxicilin 500 mg</v>
      </c>
      <c r="E668" s="2" t="str">
        <f aca="false">INDEX(Léky!$E$2:$E$11,MATCH(C668,Léky!$A$2:$A$11,0))</f>
        <v>Antibiotika</v>
      </c>
      <c r="F668" s="2" t="n">
        <v>1</v>
      </c>
      <c r="G668" s="5" t="n">
        <f aca="false">INDEX(Léky!$H$2:$H$11,MATCH(C668,Léky!$A$2:$A$11,0))</f>
        <v>120</v>
      </c>
      <c r="H668" s="5" t="n">
        <f aca="false">F668*G668</f>
        <v>120</v>
      </c>
    </row>
    <row r="669" customFormat="false" ht="15" hidden="false" customHeight="false" outlineLevel="0" collapsed="false">
      <c r="A669" s="11" t="n">
        <v>45931</v>
      </c>
      <c r="B669" s="2" t="s">
        <v>159</v>
      </c>
      <c r="C669" s="2" t="s">
        <v>57</v>
      </c>
      <c r="D669" s="2" t="str">
        <f aca="false">INDEX(Léky!$B$2:$B$11,MATCH(C669,Léky!$A$2:$A$11,0))</f>
        <v>Levothyroxin 50 µg</v>
      </c>
      <c r="E669" s="2" t="str">
        <f aca="false">INDEX(Léky!$E$2:$E$11,MATCH(C669,Léky!$A$2:$A$11,0))</f>
        <v>Štítná žláza</v>
      </c>
      <c r="F669" s="2" t="n">
        <v>1</v>
      </c>
      <c r="G669" s="5" t="n">
        <f aca="false">INDEX(Léky!$H$2:$H$11,MATCH(C669,Léky!$A$2:$A$11,0))</f>
        <v>118</v>
      </c>
      <c r="H669" s="5" t="n">
        <f aca="false">F669*G669</f>
        <v>118</v>
      </c>
    </row>
    <row r="670" customFormat="false" ht="15" hidden="false" customHeight="false" outlineLevel="0" collapsed="false">
      <c r="A670" s="11" t="n">
        <v>45931</v>
      </c>
      <c r="B670" s="2" t="s">
        <v>160</v>
      </c>
      <c r="C670" s="2" t="s">
        <v>48</v>
      </c>
      <c r="D670" s="2" t="str">
        <f aca="false">INDEX(Léky!$B$2:$B$11,MATCH(C670,Léky!$A$2:$A$11,0))</f>
        <v>Amlodipin 5 mg</v>
      </c>
      <c r="E670" s="2" t="str">
        <f aca="false">INDEX(Léky!$E$2:$E$11,MATCH(C670,Léky!$A$2:$A$11,0))</f>
        <v>Krevní tlak</v>
      </c>
      <c r="F670" s="2" t="n">
        <v>1</v>
      </c>
      <c r="G670" s="5" t="n">
        <f aca="false">INDEX(Léky!$H$2:$H$11,MATCH(C670,Léky!$A$2:$A$11,0))</f>
        <v>72</v>
      </c>
      <c r="H670" s="5" t="n">
        <f aca="false">F670*G670</f>
        <v>72</v>
      </c>
    </row>
    <row r="671" customFormat="false" ht="15" hidden="false" customHeight="false" outlineLevel="0" collapsed="false">
      <c r="A671" s="11" t="n">
        <v>45931</v>
      </c>
      <c r="B671" s="2" t="s">
        <v>160</v>
      </c>
      <c r="C671" s="2" t="s">
        <v>57</v>
      </c>
      <c r="D671" s="2" t="str">
        <f aca="false">INDEX(Léky!$B$2:$B$11,MATCH(C671,Léky!$A$2:$A$11,0))</f>
        <v>Levothyroxin 50 µg</v>
      </c>
      <c r="E671" s="2" t="str">
        <f aca="false">INDEX(Léky!$E$2:$E$11,MATCH(C671,Léky!$A$2:$A$11,0))</f>
        <v>Štítná žláza</v>
      </c>
      <c r="F671" s="2" t="n">
        <v>1</v>
      </c>
      <c r="G671" s="5" t="n">
        <f aca="false">INDEX(Léky!$H$2:$H$11,MATCH(C671,Léky!$A$2:$A$11,0))</f>
        <v>118</v>
      </c>
      <c r="H671" s="5" t="n">
        <f aca="false">F671*G671</f>
        <v>118</v>
      </c>
    </row>
    <row r="672" customFormat="false" ht="15" hidden="false" customHeight="false" outlineLevel="0" collapsed="false">
      <c r="A672" s="11" t="n">
        <v>45931</v>
      </c>
      <c r="B672" s="2" t="s">
        <v>161</v>
      </c>
      <c r="C672" s="2" t="s">
        <v>34</v>
      </c>
      <c r="D672" s="2" t="str">
        <f aca="false">INDEX(Léky!$B$2:$B$11,MATCH(C672,Léky!$A$2:$A$11,0))</f>
        <v>Metformin 500 mg</v>
      </c>
      <c r="E672" s="2" t="str">
        <f aca="false">INDEX(Léky!$E$2:$E$11,MATCH(C672,Léky!$A$2:$A$11,0))</f>
        <v>Diabetes</v>
      </c>
      <c r="F672" s="2" t="n">
        <v>1</v>
      </c>
      <c r="G672" s="5" t="n">
        <f aca="false">INDEX(Léky!$H$2:$H$11,MATCH(C672,Léky!$A$2:$A$11,0))</f>
        <v>89</v>
      </c>
      <c r="H672" s="5" t="n">
        <f aca="false">F672*G672</f>
        <v>89</v>
      </c>
    </row>
    <row r="673" customFormat="false" ht="15" hidden="false" customHeight="false" outlineLevel="0" collapsed="false">
      <c r="A673" s="11" t="n">
        <v>45931</v>
      </c>
      <c r="B673" s="2" t="s">
        <v>161</v>
      </c>
      <c r="C673" s="2" t="s">
        <v>53</v>
      </c>
      <c r="D673" s="2" t="str">
        <f aca="false">INDEX(Léky!$B$2:$B$11,MATCH(C673,Léky!$A$2:$A$11,0))</f>
        <v>Ramipril 5 mg</v>
      </c>
      <c r="E673" s="2" t="str">
        <f aca="false">INDEX(Léky!$E$2:$E$11,MATCH(C673,Léky!$A$2:$A$11,0))</f>
        <v>Krevní tlak</v>
      </c>
      <c r="F673" s="2" t="n">
        <v>1</v>
      </c>
      <c r="G673" s="5" t="n">
        <f aca="false">INDEX(Léky!$H$2:$H$11,MATCH(C673,Léky!$A$2:$A$11,0))</f>
        <v>98</v>
      </c>
      <c r="H673" s="5" t="n">
        <f aca="false">F673*G673</f>
        <v>98</v>
      </c>
    </row>
    <row r="674" customFormat="false" ht="15" hidden="false" customHeight="false" outlineLevel="0" collapsed="false">
      <c r="A674" s="11" t="n">
        <v>45931</v>
      </c>
      <c r="B674" s="2" t="s">
        <v>161</v>
      </c>
      <c r="C674" s="2" t="s">
        <v>57</v>
      </c>
      <c r="D674" s="2" t="str">
        <f aca="false">INDEX(Léky!$B$2:$B$11,MATCH(C674,Léky!$A$2:$A$11,0))</f>
        <v>Levothyroxin 50 µg</v>
      </c>
      <c r="E674" s="2" t="str">
        <f aca="false">INDEX(Léky!$E$2:$E$11,MATCH(C674,Léky!$A$2:$A$11,0))</f>
        <v>Štítná žláza</v>
      </c>
      <c r="F674" s="2" t="n">
        <v>1</v>
      </c>
      <c r="G674" s="5" t="n">
        <f aca="false">INDEX(Léky!$H$2:$H$11,MATCH(C674,Léky!$A$2:$A$11,0))</f>
        <v>118</v>
      </c>
      <c r="H674" s="5" t="n">
        <f aca="false">F674*G674</f>
        <v>118</v>
      </c>
    </row>
    <row r="675" customFormat="false" ht="15" hidden="false" customHeight="false" outlineLevel="0" collapsed="false">
      <c r="A675" s="11" t="n">
        <v>45931</v>
      </c>
      <c r="B675" s="2" t="s">
        <v>161</v>
      </c>
      <c r="C675" s="2" t="s">
        <v>84</v>
      </c>
      <c r="D675" s="2" t="str">
        <f aca="false">INDEX(Léky!$B$2:$B$11,MATCH(C675,Léky!$A$2:$A$11,0))</f>
        <v>Amoxicilin 500 mg</v>
      </c>
      <c r="E675" s="2" t="str">
        <f aca="false">INDEX(Léky!$E$2:$E$11,MATCH(C675,Léky!$A$2:$A$11,0))</f>
        <v>Antibiotika</v>
      </c>
      <c r="F675" s="2" t="n">
        <v>1</v>
      </c>
      <c r="G675" s="5" t="n">
        <f aca="false">INDEX(Léky!$H$2:$H$11,MATCH(C675,Léky!$A$2:$A$11,0))</f>
        <v>120</v>
      </c>
      <c r="H675" s="5" t="n">
        <f aca="false">F675*G675</f>
        <v>120</v>
      </c>
    </row>
    <row r="676" customFormat="false" ht="15" hidden="false" customHeight="false" outlineLevel="0" collapsed="false">
      <c r="A676" s="11" t="n">
        <v>45931</v>
      </c>
      <c r="B676" s="2" t="s">
        <v>162</v>
      </c>
      <c r="C676" s="2" t="s">
        <v>42</v>
      </c>
      <c r="D676" s="2" t="str">
        <f aca="false">INDEX(Léky!$B$2:$B$11,MATCH(C676,Léky!$A$2:$A$11,0))</f>
        <v>Atorvastatin 20 mg</v>
      </c>
      <c r="E676" s="2" t="str">
        <f aca="false">INDEX(Léky!$E$2:$E$11,MATCH(C676,Léky!$A$2:$A$11,0))</f>
        <v>Cholesterol</v>
      </c>
      <c r="F676" s="2" t="n">
        <v>1</v>
      </c>
      <c r="G676" s="5" t="n">
        <f aca="false">INDEX(Léky!$H$2:$H$11,MATCH(C676,Léky!$A$2:$A$11,0))</f>
        <v>145</v>
      </c>
      <c r="H676" s="5" t="n">
        <f aca="false">F676*G676</f>
        <v>145</v>
      </c>
    </row>
    <row r="677" customFormat="false" ht="15" hidden="false" customHeight="false" outlineLevel="0" collapsed="false">
      <c r="A677" s="11" t="n">
        <v>45931</v>
      </c>
      <c r="B677" s="2" t="s">
        <v>166</v>
      </c>
      <c r="C677" s="2" t="s">
        <v>57</v>
      </c>
      <c r="D677" s="2" t="str">
        <f aca="false">INDEX(Léky!$B$2:$B$11,MATCH(C677,Léky!$A$2:$A$11,0))</f>
        <v>Levothyroxin 50 µg</v>
      </c>
      <c r="E677" s="2" t="str">
        <f aca="false">INDEX(Léky!$E$2:$E$11,MATCH(C677,Léky!$A$2:$A$11,0))</f>
        <v>Štítná žláza</v>
      </c>
      <c r="F677" s="2" t="n">
        <v>1</v>
      </c>
      <c r="G677" s="5" t="n">
        <f aca="false">INDEX(Léky!$H$2:$H$11,MATCH(C677,Léky!$A$2:$A$11,0))</f>
        <v>118</v>
      </c>
      <c r="H677" s="5" t="n">
        <f aca="false">F677*G677</f>
        <v>118</v>
      </c>
    </row>
    <row r="678" customFormat="false" ht="15" hidden="false" customHeight="false" outlineLevel="0" collapsed="false">
      <c r="A678" s="11" t="n">
        <v>45931</v>
      </c>
      <c r="B678" s="2" t="s">
        <v>167</v>
      </c>
      <c r="C678" s="2" t="s">
        <v>84</v>
      </c>
      <c r="D678" s="2" t="str">
        <f aca="false">INDEX(Léky!$B$2:$B$11,MATCH(C678,Léky!$A$2:$A$11,0))</f>
        <v>Amoxicilin 500 mg</v>
      </c>
      <c r="E678" s="2" t="str">
        <f aca="false">INDEX(Léky!$E$2:$E$11,MATCH(C678,Léky!$A$2:$A$11,0))</f>
        <v>Antibiotika</v>
      </c>
      <c r="F678" s="2" t="n">
        <v>1</v>
      </c>
      <c r="G678" s="5" t="n">
        <f aca="false">INDEX(Léky!$H$2:$H$11,MATCH(C678,Léky!$A$2:$A$11,0))</f>
        <v>120</v>
      </c>
      <c r="H678" s="5" t="n">
        <f aca="false">F678*G678</f>
        <v>120</v>
      </c>
    </row>
    <row r="679" customFormat="false" ht="15" hidden="false" customHeight="false" outlineLevel="0" collapsed="false">
      <c r="A679" s="11" t="n">
        <v>45931</v>
      </c>
      <c r="B679" s="2" t="s">
        <v>168</v>
      </c>
      <c r="C679" s="2" t="s">
        <v>34</v>
      </c>
      <c r="D679" s="2" t="str">
        <f aca="false">INDEX(Léky!$B$2:$B$11,MATCH(C679,Léky!$A$2:$A$11,0))</f>
        <v>Metformin 500 mg</v>
      </c>
      <c r="E679" s="2" t="str">
        <f aca="false">INDEX(Léky!$E$2:$E$11,MATCH(C679,Léky!$A$2:$A$11,0))</f>
        <v>Diabetes</v>
      </c>
      <c r="F679" s="2" t="n">
        <v>2</v>
      </c>
      <c r="G679" s="5" t="n">
        <f aca="false">INDEX(Léky!$H$2:$H$11,MATCH(C679,Léky!$A$2:$A$11,0))</f>
        <v>89</v>
      </c>
      <c r="H679" s="5" t="n">
        <f aca="false">F679*G679</f>
        <v>178</v>
      </c>
    </row>
    <row r="680" customFormat="false" ht="15" hidden="false" customHeight="false" outlineLevel="0" collapsed="false">
      <c r="A680" s="11" t="n">
        <v>45931</v>
      </c>
      <c r="B680" s="2" t="s">
        <v>169</v>
      </c>
      <c r="C680" s="2" t="s">
        <v>63</v>
      </c>
      <c r="D680" s="2" t="str">
        <f aca="false">INDEX(Léky!$B$2:$B$11,MATCH(C680,Léky!$A$2:$A$11,0))</f>
        <v>Omeprazol 20 mg</v>
      </c>
      <c r="E680" s="2" t="str">
        <f aca="false">INDEX(Léky!$E$2:$E$11,MATCH(C680,Léky!$A$2:$A$11,0))</f>
        <v>Trávení</v>
      </c>
      <c r="F680" s="2" t="n">
        <v>1</v>
      </c>
      <c r="G680" s="5" t="n">
        <f aca="false">INDEX(Léky!$H$2:$H$11,MATCH(C680,Léky!$A$2:$A$11,0))</f>
        <v>135</v>
      </c>
      <c r="H680" s="5" t="n">
        <f aca="false">F680*G680</f>
        <v>135</v>
      </c>
    </row>
    <row r="681" customFormat="false" ht="15" hidden="false" customHeight="false" outlineLevel="0" collapsed="false">
      <c r="A681" s="11" t="n">
        <v>45931</v>
      </c>
      <c r="B681" s="2" t="s">
        <v>170</v>
      </c>
      <c r="C681" s="2" t="s">
        <v>63</v>
      </c>
      <c r="D681" s="2" t="str">
        <f aca="false">INDEX(Léky!$B$2:$B$11,MATCH(C681,Léky!$A$2:$A$11,0))</f>
        <v>Omeprazol 20 mg</v>
      </c>
      <c r="E681" s="2" t="str">
        <f aca="false">INDEX(Léky!$E$2:$E$11,MATCH(C681,Léky!$A$2:$A$11,0))</f>
        <v>Trávení</v>
      </c>
      <c r="F681" s="2" t="n">
        <v>1</v>
      </c>
      <c r="G681" s="5" t="n">
        <f aca="false">INDEX(Léky!$H$2:$H$11,MATCH(C681,Léky!$A$2:$A$11,0))</f>
        <v>135</v>
      </c>
      <c r="H681" s="5" t="n">
        <f aca="false">F681*G681</f>
        <v>135</v>
      </c>
    </row>
    <row r="682" customFormat="false" ht="15" hidden="false" customHeight="false" outlineLevel="0" collapsed="false">
      <c r="A682" s="11" t="n">
        <v>45931</v>
      </c>
      <c r="B682" s="2" t="s">
        <v>170</v>
      </c>
      <c r="C682" s="2" t="s">
        <v>84</v>
      </c>
      <c r="D682" s="2" t="str">
        <f aca="false">INDEX(Léky!$B$2:$B$11,MATCH(C682,Léky!$A$2:$A$11,0))</f>
        <v>Amoxicilin 500 mg</v>
      </c>
      <c r="E682" s="2" t="str">
        <f aca="false">INDEX(Léky!$E$2:$E$11,MATCH(C682,Léky!$A$2:$A$11,0))</f>
        <v>Antibiotika</v>
      </c>
      <c r="F682" s="2" t="n">
        <v>1</v>
      </c>
      <c r="G682" s="5" t="n">
        <f aca="false">INDEX(Léky!$H$2:$H$11,MATCH(C682,Léky!$A$2:$A$11,0))</f>
        <v>120</v>
      </c>
      <c r="H682" s="5" t="n">
        <f aca="false">F682*G682</f>
        <v>120</v>
      </c>
    </row>
    <row r="683" customFormat="false" ht="15" hidden="false" customHeight="false" outlineLevel="0" collapsed="false">
      <c r="A683" s="11" t="n">
        <v>45931</v>
      </c>
      <c r="B683" s="2" t="s">
        <v>171</v>
      </c>
      <c r="C683" s="2" t="s">
        <v>34</v>
      </c>
      <c r="D683" s="2" t="str">
        <f aca="false">INDEX(Léky!$B$2:$B$11,MATCH(C683,Léky!$A$2:$A$11,0))</f>
        <v>Metformin 500 mg</v>
      </c>
      <c r="E683" s="2" t="str">
        <f aca="false">INDEX(Léky!$E$2:$E$11,MATCH(C683,Léky!$A$2:$A$11,0))</f>
        <v>Diabetes</v>
      </c>
      <c r="F683" s="2" t="n">
        <v>1</v>
      </c>
      <c r="G683" s="5" t="n">
        <f aca="false">INDEX(Léky!$H$2:$H$11,MATCH(C683,Léky!$A$2:$A$11,0))</f>
        <v>89</v>
      </c>
      <c r="H683" s="5" t="n">
        <f aca="false">F683*G683</f>
        <v>89</v>
      </c>
    </row>
    <row r="684" customFormat="false" ht="15" hidden="false" customHeight="false" outlineLevel="0" collapsed="false">
      <c r="A684" s="11" t="n">
        <v>45931</v>
      </c>
      <c r="B684" s="2" t="s">
        <v>171</v>
      </c>
      <c r="C684" s="2" t="s">
        <v>48</v>
      </c>
      <c r="D684" s="2" t="str">
        <f aca="false">INDEX(Léky!$B$2:$B$11,MATCH(C684,Léky!$A$2:$A$11,0))</f>
        <v>Amlodipin 5 mg</v>
      </c>
      <c r="E684" s="2" t="str">
        <f aca="false">INDEX(Léky!$E$2:$E$11,MATCH(C684,Léky!$A$2:$A$11,0))</f>
        <v>Krevní tlak</v>
      </c>
      <c r="F684" s="2" t="n">
        <v>1</v>
      </c>
      <c r="G684" s="5" t="n">
        <f aca="false">INDEX(Léky!$H$2:$H$11,MATCH(C684,Léky!$A$2:$A$11,0))</f>
        <v>72</v>
      </c>
      <c r="H684" s="5" t="n">
        <f aca="false">F684*G684</f>
        <v>72</v>
      </c>
    </row>
    <row r="685" customFormat="false" ht="15" hidden="false" customHeight="false" outlineLevel="0" collapsed="false">
      <c r="A685" s="11" t="n">
        <v>45931</v>
      </c>
      <c r="B685" s="2" t="s">
        <v>171</v>
      </c>
      <c r="C685" s="2" t="s">
        <v>57</v>
      </c>
      <c r="D685" s="2" t="str">
        <f aca="false">INDEX(Léky!$B$2:$B$11,MATCH(C685,Léky!$A$2:$A$11,0))</f>
        <v>Levothyroxin 50 µg</v>
      </c>
      <c r="E685" s="2" t="str">
        <f aca="false">INDEX(Léky!$E$2:$E$11,MATCH(C685,Léky!$A$2:$A$11,0))</f>
        <v>Štítná žláza</v>
      </c>
      <c r="F685" s="2" t="n">
        <v>1</v>
      </c>
      <c r="G685" s="5" t="n">
        <f aca="false">INDEX(Léky!$H$2:$H$11,MATCH(C685,Léky!$A$2:$A$11,0))</f>
        <v>118</v>
      </c>
      <c r="H685" s="5" t="n">
        <f aca="false">F685*G685</f>
        <v>118</v>
      </c>
    </row>
    <row r="686" customFormat="false" ht="15" hidden="false" customHeight="false" outlineLevel="0" collapsed="false">
      <c r="A686" s="11" t="n">
        <v>45931</v>
      </c>
      <c r="B686" s="2" t="s">
        <v>172</v>
      </c>
      <c r="C686" s="2" t="s">
        <v>84</v>
      </c>
      <c r="D686" s="2" t="str">
        <f aca="false">INDEX(Léky!$B$2:$B$11,MATCH(C686,Léky!$A$2:$A$11,0))</f>
        <v>Amoxicilin 500 mg</v>
      </c>
      <c r="E686" s="2" t="str">
        <f aca="false">INDEX(Léky!$E$2:$E$11,MATCH(C686,Léky!$A$2:$A$11,0))</f>
        <v>Antibiotika</v>
      </c>
      <c r="F686" s="2" t="n">
        <v>1</v>
      </c>
      <c r="G686" s="5" t="n">
        <f aca="false">INDEX(Léky!$H$2:$H$11,MATCH(C686,Léky!$A$2:$A$11,0))</f>
        <v>120</v>
      </c>
      <c r="H686" s="5" t="n">
        <f aca="false">F686*G686</f>
        <v>120</v>
      </c>
    </row>
    <row r="687" customFormat="false" ht="15" hidden="false" customHeight="false" outlineLevel="0" collapsed="false">
      <c r="A687" s="11" t="n">
        <v>45931</v>
      </c>
      <c r="B687" s="2" t="s">
        <v>173</v>
      </c>
      <c r="C687" s="2" t="s">
        <v>53</v>
      </c>
      <c r="D687" s="2" t="str">
        <f aca="false">INDEX(Léky!$B$2:$B$11,MATCH(C687,Léky!$A$2:$A$11,0))</f>
        <v>Ramipril 5 mg</v>
      </c>
      <c r="E687" s="2" t="str">
        <f aca="false">INDEX(Léky!$E$2:$E$11,MATCH(C687,Léky!$A$2:$A$11,0))</f>
        <v>Krevní tlak</v>
      </c>
      <c r="F687" s="2" t="n">
        <v>1</v>
      </c>
      <c r="G687" s="5" t="n">
        <f aca="false">INDEX(Léky!$H$2:$H$11,MATCH(C687,Léky!$A$2:$A$11,0))</f>
        <v>98</v>
      </c>
      <c r="H687" s="5" t="n">
        <f aca="false">F687*G687</f>
        <v>98</v>
      </c>
    </row>
    <row r="688" customFormat="false" ht="15" hidden="false" customHeight="false" outlineLevel="0" collapsed="false">
      <c r="A688" s="11" t="n">
        <v>45931</v>
      </c>
      <c r="B688" s="2" t="s">
        <v>174</v>
      </c>
      <c r="C688" s="2" t="s">
        <v>48</v>
      </c>
      <c r="D688" s="2" t="str">
        <f aca="false">INDEX(Léky!$B$2:$B$11,MATCH(C688,Léky!$A$2:$A$11,0))</f>
        <v>Amlodipin 5 mg</v>
      </c>
      <c r="E688" s="2" t="str">
        <f aca="false">INDEX(Léky!$E$2:$E$11,MATCH(C688,Léky!$A$2:$A$11,0))</f>
        <v>Krevní tlak</v>
      </c>
      <c r="F688" s="2" t="n">
        <v>1</v>
      </c>
      <c r="G688" s="5" t="n">
        <f aca="false">INDEX(Léky!$H$2:$H$11,MATCH(C688,Léky!$A$2:$A$11,0))</f>
        <v>72</v>
      </c>
      <c r="H688" s="5" t="n">
        <f aca="false">F688*G688</f>
        <v>72</v>
      </c>
    </row>
    <row r="689" customFormat="false" ht="15" hidden="false" customHeight="false" outlineLevel="0" collapsed="false">
      <c r="A689" s="11" t="n">
        <v>45931</v>
      </c>
      <c r="B689" s="2" t="s">
        <v>174</v>
      </c>
      <c r="C689" s="2" t="s">
        <v>53</v>
      </c>
      <c r="D689" s="2" t="str">
        <f aca="false">INDEX(Léky!$B$2:$B$11,MATCH(C689,Léky!$A$2:$A$11,0))</f>
        <v>Ramipril 5 mg</v>
      </c>
      <c r="E689" s="2" t="str">
        <f aca="false">INDEX(Léky!$E$2:$E$11,MATCH(C689,Léky!$A$2:$A$11,0))</f>
        <v>Krevní tlak</v>
      </c>
      <c r="F689" s="2" t="n">
        <v>1</v>
      </c>
      <c r="G689" s="5" t="n">
        <f aca="false">INDEX(Léky!$H$2:$H$11,MATCH(C689,Léky!$A$2:$A$11,0))</f>
        <v>98</v>
      </c>
      <c r="H689" s="5" t="n">
        <f aca="false">F689*G689</f>
        <v>98</v>
      </c>
    </row>
    <row r="690" customFormat="false" ht="15" hidden="false" customHeight="false" outlineLevel="0" collapsed="false">
      <c r="A690" s="11" t="n">
        <v>45931</v>
      </c>
      <c r="B690" s="2" t="s">
        <v>175</v>
      </c>
      <c r="C690" s="2" t="s">
        <v>63</v>
      </c>
      <c r="D690" s="2" t="str">
        <f aca="false">INDEX(Léky!$B$2:$B$11,MATCH(C690,Léky!$A$2:$A$11,0))</f>
        <v>Omeprazol 20 mg</v>
      </c>
      <c r="E690" s="2" t="str">
        <f aca="false">INDEX(Léky!$E$2:$E$11,MATCH(C690,Léky!$A$2:$A$11,0))</f>
        <v>Trávení</v>
      </c>
      <c r="F690" s="2" t="n">
        <v>1</v>
      </c>
      <c r="G690" s="5" t="n">
        <f aca="false">INDEX(Léky!$H$2:$H$11,MATCH(C690,Léky!$A$2:$A$11,0))</f>
        <v>135</v>
      </c>
      <c r="H690" s="5" t="n">
        <f aca="false">F690*G690</f>
        <v>135</v>
      </c>
    </row>
    <row r="691" customFormat="false" ht="15" hidden="false" customHeight="false" outlineLevel="0" collapsed="false">
      <c r="A691" s="11" t="n">
        <v>45962</v>
      </c>
      <c r="B691" s="2" t="s">
        <v>103</v>
      </c>
      <c r="C691" s="2" t="s">
        <v>34</v>
      </c>
      <c r="D691" s="2" t="str">
        <f aca="false">INDEX(Léky!$B$2:$B$11,MATCH(C691,Léky!$A$2:$A$11,0))</f>
        <v>Metformin 500 mg</v>
      </c>
      <c r="E691" s="2" t="str">
        <f aca="false">INDEX(Léky!$E$2:$E$11,MATCH(C691,Léky!$A$2:$A$11,0))</f>
        <v>Diabetes</v>
      </c>
      <c r="F691" s="2" t="n">
        <v>2</v>
      </c>
      <c r="G691" s="5" t="n">
        <f aca="false">INDEX(Léky!$H$2:$H$11,MATCH(C691,Léky!$A$2:$A$11,0))</f>
        <v>89</v>
      </c>
      <c r="H691" s="5" t="n">
        <f aca="false">F691*G691</f>
        <v>178</v>
      </c>
    </row>
    <row r="692" customFormat="false" ht="15" hidden="false" customHeight="false" outlineLevel="0" collapsed="false">
      <c r="A692" s="11" t="n">
        <v>45962</v>
      </c>
      <c r="B692" s="2" t="s">
        <v>110</v>
      </c>
      <c r="C692" s="2" t="s">
        <v>63</v>
      </c>
      <c r="D692" s="2" t="str">
        <f aca="false">INDEX(Léky!$B$2:$B$11,MATCH(C692,Léky!$A$2:$A$11,0))</f>
        <v>Omeprazol 20 mg</v>
      </c>
      <c r="E692" s="2" t="str">
        <f aca="false">INDEX(Léky!$E$2:$E$11,MATCH(C692,Léky!$A$2:$A$11,0))</f>
        <v>Trávení</v>
      </c>
      <c r="F692" s="2" t="n">
        <v>1</v>
      </c>
      <c r="G692" s="5" t="n">
        <f aca="false">INDEX(Léky!$H$2:$H$11,MATCH(C692,Léky!$A$2:$A$11,0))</f>
        <v>135</v>
      </c>
      <c r="H692" s="5" t="n">
        <f aca="false">F692*G692</f>
        <v>135</v>
      </c>
    </row>
    <row r="693" customFormat="false" ht="15" hidden="false" customHeight="false" outlineLevel="0" collapsed="false">
      <c r="A693" s="11" t="n">
        <v>45962</v>
      </c>
      <c r="B693" s="2" t="s">
        <v>114</v>
      </c>
      <c r="C693" s="2" t="s">
        <v>53</v>
      </c>
      <c r="D693" s="2" t="str">
        <f aca="false">INDEX(Léky!$B$2:$B$11,MATCH(C693,Léky!$A$2:$A$11,0))</f>
        <v>Ramipril 5 mg</v>
      </c>
      <c r="E693" s="2" t="str">
        <f aca="false">INDEX(Léky!$E$2:$E$11,MATCH(C693,Léky!$A$2:$A$11,0))</f>
        <v>Krevní tlak</v>
      </c>
      <c r="F693" s="2" t="n">
        <v>1</v>
      </c>
      <c r="G693" s="5" t="n">
        <f aca="false">INDEX(Léky!$H$2:$H$11,MATCH(C693,Léky!$A$2:$A$11,0))</f>
        <v>98</v>
      </c>
      <c r="H693" s="5" t="n">
        <f aca="false">F693*G693</f>
        <v>98</v>
      </c>
    </row>
    <row r="694" customFormat="false" ht="15" hidden="false" customHeight="false" outlineLevel="0" collapsed="false">
      <c r="A694" s="11" t="n">
        <v>45962</v>
      </c>
      <c r="B694" s="2" t="s">
        <v>114</v>
      </c>
      <c r="C694" s="2" t="s">
        <v>84</v>
      </c>
      <c r="D694" s="2" t="str">
        <f aca="false">INDEX(Léky!$B$2:$B$11,MATCH(C694,Léky!$A$2:$A$11,0))</f>
        <v>Amoxicilin 500 mg</v>
      </c>
      <c r="E694" s="2" t="str">
        <f aca="false">INDEX(Léky!$E$2:$E$11,MATCH(C694,Léky!$A$2:$A$11,0))</f>
        <v>Antibiotika</v>
      </c>
      <c r="F694" s="2" t="n">
        <v>1</v>
      </c>
      <c r="G694" s="5" t="n">
        <f aca="false">INDEX(Léky!$H$2:$H$11,MATCH(C694,Léky!$A$2:$A$11,0))</f>
        <v>120</v>
      </c>
      <c r="H694" s="5" t="n">
        <f aca="false">F694*G694</f>
        <v>120</v>
      </c>
    </row>
    <row r="695" customFormat="false" ht="15" hidden="false" customHeight="false" outlineLevel="0" collapsed="false">
      <c r="A695" s="11" t="n">
        <v>45962</v>
      </c>
      <c r="B695" s="2" t="s">
        <v>116</v>
      </c>
      <c r="C695" s="2" t="s">
        <v>76</v>
      </c>
      <c r="D695" s="2" t="str">
        <f aca="false">INDEX(Léky!$B$2:$B$11,MATCH(C695,Léky!$A$2:$A$11,0))</f>
        <v>Salbutamol inhalátor</v>
      </c>
      <c r="E695" s="2" t="str">
        <f aca="false">INDEX(Léky!$E$2:$E$11,MATCH(C695,Léky!$A$2:$A$11,0))</f>
        <v>Dýchací cesty</v>
      </c>
      <c r="F695" s="2" t="n">
        <v>1</v>
      </c>
      <c r="G695" s="5" t="n">
        <f aca="false">INDEX(Léky!$H$2:$H$11,MATCH(C695,Léky!$A$2:$A$11,0))</f>
        <v>165</v>
      </c>
      <c r="H695" s="5" t="n">
        <f aca="false">F695*G695</f>
        <v>165</v>
      </c>
    </row>
    <row r="696" customFormat="false" ht="15" hidden="false" customHeight="false" outlineLevel="0" collapsed="false">
      <c r="A696" s="11" t="n">
        <v>45962</v>
      </c>
      <c r="B696" s="2" t="s">
        <v>118</v>
      </c>
      <c r="C696" s="2" t="s">
        <v>48</v>
      </c>
      <c r="D696" s="2" t="str">
        <f aca="false">INDEX(Léky!$B$2:$B$11,MATCH(C696,Léky!$A$2:$A$11,0))</f>
        <v>Amlodipin 5 mg</v>
      </c>
      <c r="E696" s="2" t="str">
        <f aca="false">INDEX(Léky!$E$2:$E$11,MATCH(C696,Léky!$A$2:$A$11,0))</f>
        <v>Krevní tlak</v>
      </c>
      <c r="F696" s="2" t="n">
        <v>1</v>
      </c>
      <c r="G696" s="5" t="n">
        <f aca="false">INDEX(Léky!$H$2:$H$11,MATCH(C696,Léky!$A$2:$A$11,0))</f>
        <v>72</v>
      </c>
      <c r="H696" s="5" t="n">
        <f aca="false">F696*G696</f>
        <v>72</v>
      </c>
    </row>
    <row r="697" customFormat="false" ht="15" hidden="false" customHeight="false" outlineLevel="0" collapsed="false">
      <c r="A697" s="11" t="n">
        <v>45962</v>
      </c>
      <c r="B697" s="2" t="s">
        <v>124</v>
      </c>
      <c r="C697" s="2" t="s">
        <v>48</v>
      </c>
      <c r="D697" s="2" t="str">
        <f aca="false">INDEX(Léky!$B$2:$B$11,MATCH(C697,Léky!$A$2:$A$11,0))</f>
        <v>Amlodipin 5 mg</v>
      </c>
      <c r="E697" s="2" t="str">
        <f aca="false">INDEX(Léky!$E$2:$E$11,MATCH(C697,Léky!$A$2:$A$11,0))</f>
        <v>Krevní tlak</v>
      </c>
      <c r="F697" s="2" t="n">
        <v>1</v>
      </c>
      <c r="G697" s="5" t="n">
        <f aca="false">INDEX(Léky!$H$2:$H$11,MATCH(C697,Léky!$A$2:$A$11,0))</f>
        <v>72</v>
      </c>
      <c r="H697" s="5" t="n">
        <f aca="false">F697*G697</f>
        <v>72</v>
      </c>
    </row>
    <row r="698" customFormat="false" ht="15" hidden="false" customHeight="false" outlineLevel="0" collapsed="false">
      <c r="A698" s="11" t="n">
        <v>45962</v>
      </c>
      <c r="B698" s="2" t="s">
        <v>125</v>
      </c>
      <c r="C698" s="2" t="s">
        <v>70</v>
      </c>
      <c r="D698" s="2" t="str">
        <f aca="false">INDEX(Léky!$B$2:$B$11,MATCH(C698,Léky!$A$2:$A$11,0))</f>
        <v>Sertralin 50 mg</v>
      </c>
      <c r="E698" s="2" t="str">
        <f aca="false">INDEX(Léky!$E$2:$E$11,MATCH(C698,Léky!$A$2:$A$11,0))</f>
        <v>Psychiatrie</v>
      </c>
      <c r="F698" s="2" t="n">
        <v>1</v>
      </c>
      <c r="G698" s="5" t="n">
        <f aca="false">INDEX(Léky!$H$2:$H$11,MATCH(C698,Léky!$A$2:$A$11,0))</f>
        <v>210</v>
      </c>
      <c r="H698" s="5" t="n">
        <f aca="false">F698*G698</f>
        <v>210</v>
      </c>
    </row>
    <row r="699" customFormat="false" ht="15" hidden="false" customHeight="false" outlineLevel="0" collapsed="false">
      <c r="A699" s="11" t="n">
        <v>45962</v>
      </c>
      <c r="B699" s="2" t="s">
        <v>127</v>
      </c>
      <c r="C699" s="2" t="s">
        <v>70</v>
      </c>
      <c r="D699" s="2" t="str">
        <f aca="false">INDEX(Léky!$B$2:$B$11,MATCH(C699,Léky!$A$2:$A$11,0))</f>
        <v>Sertralin 50 mg</v>
      </c>
      <c r="E699" s="2" t="str">
        <f aca="false">INDEX(Léky!$E$2:$E$11,MATCH(C699,Léky!$A$2:$A$11,0))</f>
        <v>Psychiatrie</v>
      </c>
      <c r="F699" s="2" t="n">
        <v>1</v>
      </c>
      <c r="G699" s="5" t="n">
        <f aca="false">INDEX(Léky!$H$2:$H$11,MATCH(C699,Léky!$A$2:$A$11,0))</f>
        <v>210</v>
      </c>
      <c r="H699" s="5" t="n">
        <f aca="false">F699*G699</f>
        <v>210</v>
      </c>
    </row>
    <row r="700" customFormat="false" ht="15" hidden="false" customHeight="false" outlineLevel="0" collapsed="false">
      <c r="A700" s="11" t="n">
        <v>45962</v>
      </c>
      <c r="B700" s="2" t="s">
        <v>128</v>
      </c>
      <c r="C700" s="2" t="s">
        <v>53</v>
      </c>
      <c r="D700" s="2" t="str">
        <f aca="false">INDEX(Léky!$B$2:$B$11,MATCH(C700,Léky!$A$2:$A$11,0))</f>
        <v>Ramipril 5 mg</v>
      </c>
      <c r="E700" s="2" t="str">
        <f aca="false">INDEX(Léky!$E$2:$E$11,MATCH(C700,Léky!$A$2:$A$11,0))</f>
        <v>Krevní tlak</v>
      </c>
      <c r="F700" s="2" t="n">
        <v>1</v>
      </c>
      <c r="G700" s="5" t="n">
        <f aca="false">INDEX(Léky!$H$2:$H$11,MATCH(C700,Léky!$A$2:$A$11,0))</f>
        <v>98</v>
      </c>
      <c r="H700" s="5" t="n">
        <f aca="false">F700*G700</f>
        <v>98</v>
      </c>
    </row>
    <row r="701" customFormat="false" ht="15" hidden="false" customHeight="false" outlineLevel="0" collapsed="false">
      <c r="A701" s="11" t="n">
        <v>45962</v>
      </c>
      <c r="B701" s="2" t="s">
        <v>128</v>
      </c>
      <c r="C701" s="2" t="s">
        <v>84</v>
      </c>
      <c r="D701" s="2" t="str">
        <f aca="false">INDEX(Léky!$B$2:$B$11,MATCH(C701,Léky!$A$2:$A$11,0))</f>
        <v>Amoxicilin 500 mg</v>
      </c>
      <c r="E701" s="2" t="str">
        <f aca="false">INDEX(Léky!$E$2:$E$11,MATCH(C701,Léky!$A$2:$A$11,0))</f>
        <v>Antibiotika</v>
      </c>
      <c r="F701" s="2" t="n">
        <v>1</v>
      </c>
      <c r="G701" s="5" t="n">
        <f aca="false">INDEX(Léky!$H$2:$H$11,MATCH(C701,Léky!$A$2:$A$11,0))</f>
        <v>120</v>
      </c>
      <c r="H701" s="5" t="n">
        <f aca="false">F701*G701</f>
        <v>120</v>
      </c>
    </row>
    <row r="702" customFormat="false" ht="15" hidden="false" customHeight="false" outlineLevel="0" collapsed="false">
      <c r="A702" s="11" t="n">
        <v>45962</v>
      </c>
      <c r="B702" s="2" t="s">
        <v>129</v>
      </c>
      <c r="C702" s="2" t="s">
        <v>34</v>
      </c>
      <c r="D702" s="2" t="str">
        <f aca="false">INDEX(Léky!$B$2:$B$11,MATCH(C702,Léky!$A$2:$A$11,0))</f>
        <v>Metformin 500 mg</v>
      </c>
      <c r="E702" s="2" t="str">
        <f aca="false">INDEX(Léky!$E$2:$E$11,MATCH(C702,Léky!$A$2:$A$11,0))</f>
        <v>Diabetes</v>
      </c>
      <c r="F702" s="2" t="n">
        <v>2</v>
      </c>
      <c r="G702" s="5" t="n">
        <f aca="false">INDEX(Léky!$H$2:$H$11,MATCH(C702,Léky!$A$2:$A$11,0))</f>
        <v>89</v>
      </c>
      <c r="H702" s="5" t="n">
        <f aca="false">F702*G702</f>
        <v>178</v>
      </c>
    </row>
    <row r="703" customFormat="false" ht="15" hidden="false" customHeight="false" outlineLevel="0" collapsed="false">
      <c r="A703" s="11" t="n">
        <v>45962</v>
      </c>
      <c r="B703" s="2" t="s">
        <v>129</v>
      </c>
      <c r="C703" s="2" t="s">
        <v>70</v>
      </c>
      <c r="D703" s="2" t="str">
        <f aca="false">INDEX(Léky!$B$2:$B$11,MATCH(C703,Léky!$A$2:$A$11,0))</f>
        <v>Sertralin 50 mg</v>
      </c>
      <c r="E703" s="2" t="str">
        <f aca="false">INDEX(Léky!$E$2:$E$11,MATCH(C703,Léky!$A$2:$A$11,0))</f>
        <v>Psychiatrie</v>
      </c>
      <c r="F703" s="2" t="n">
        <v>1</v>
      </c>
      <c r="G703" s="5" t="n">
        <f aca="false">INDEX(Léky!$H$2:$H$11,MATCH(C703,Léky!$A$2:$A$11,0))</f>
        <v>210</v>
      </c>
      <c r="H703" s="5" t="n">
        <f aca="false">F703*G703</f>
        <v>210</v>
      </c>
    </row>
    <row r="704" customFormat="false" ht="15" hidden="false" customHeight="false" outlineLevel="0" collapsed="false">
      <c r="A704" s="11" t="n">
        <v>45962</v>
      </c>
      <c r="B704" s="2" t="s">
        <v>130</v>
      </c>
      <c r="C704" s="2" t="s">
        <v>57</v>
      </c>
      <c r="D704" s="2" t="str">
        <f aca="false">INDEX(Léky!$B$2:$B$11,MATCH(C704,Léky!$A$2:$A$11,0))</f>
        <v>Levothyroxin 50 µg</v>
      </c>
      <c r="E704" s="2" t="str">
        <f aca="false">INDEX(Léky!$E$2:$E$11,MATCH(C704,Léky!$A$2:$A$11,0))</f>
        <v>Štítná žláza</v>
      </c>
      <c r="F704" s="2" t="n">
        <v>1</v>
      </c>
      <c r="G704" s="5" t="n">
        <f aca="false">INDEX(Léky!$H$2:$H$11,MATCH(C704,Léky!$A$2:$A$11,0))</f>
        <v>118</v>
      </c>
      <c r="H704" s="5" t="n">
        <f aca="false">F704*G704</f>
        <v>118</v>
      </c>
    </row>
    <row r="705" customFormat="false" ht="15" hidden="false" customHeight="false" outlineLevel="0" collapsed="false">
      <c r="A705" s="11" t="n">
        <v>45962</v>
      </c>
      <c r="B705" s="2" t="s">
        <v>130</v>
      </c>
      <c r="C705" s="2" t="s">
        <v>76</v>
      </c>
      <c r="D705" s="2" t="str">
        <f aca="false">INDEX(Léky!$B$2:$B$11,MATCH(C705,Léky!$A$2:$A$11,0))</f>
        <v>Salbutamol inhalátor</v>
      </c>
      <c r="E705" s="2" t="str">
        <f aca="false">INDEX(Léky!$E$2:$E$11,MATCH(C705,Léky!$A$2:$A$11,0))</f>
        <v>Dýchací cesty</v>
      </c>
      <c r="F705" s="2" t="n">
        <v>1</v>
      </c>
      <c r="G705" s="5" t="n">
        <f aca="false">INDEX(Léky!$H$2:$H$11,MATCH(C705,Léky!$A$2:$A$11,0))</f>
        <v>165</v>
      </c>
      <c r="H705" s="5" t="n">
        <f aca="false">F705*G705</f>
        <v>165</v>
      </c>
    </row>
    <row r="706" customFormat="false" ht="15" hidden="false" customHeight="false" outlineLevel="0" collapsed="false">
      <c r="A706" s="11" t="n">
        <v>45962</v>
      </c>
      <c r="B706" s="2" t="s">
        <v>130</v>
      </c>
      <c r="C706" s="2" t="s">
        <v>91</v>
      </c>
      <c r="D706" s="2" t="str">
        <f aca="false">INDEX(Léky!$B$2:$B$11,MATCH(C706,Léky!$A$2:$A$11,0))</f>
        <v>Ibuprofen 400 mg</v>
      </c>
      <c r="E706" s="2" t="str">
        <f aca="false">INDEX(Léky!$E$2:$E$11,MATCH(C706,Léky!$A$2:$A$11,0))</f>
        <v>Bolest</v>
      </c>
      <c r="F706" s="2" t="n">
        <v>2</v>
      </c>
      <c r="G706" s="5" t="n">
        <f aca="false">INDEX(Léky!$H$2:$H$11,MATCH(C706,Léky!$A$2:$A$11,0))</f>
        <v>65</v>
      </c>
      <c r="H706" s="5" t="n">
        <f aca="false">F706*G706</f>
        <v>130</v>
      </c>
    </row>
    <row r="707" customFormat="false" ht="15" hidden="false" customHeight="false" outlineLevel="0" collapsed="false">
      <c r="A707" s="11" t="n">
        <v>45962</v>
      </c>
      <c r="B707" s="2" t="s">
        <v>131</v>
      </c>
      <c r="C707" s="2" t="s">
        <v>34</v>
      </c>
      <c r="D707" s="2" t="str">
        <f aca="false">INDEX(Léky!$B$2:$B$11,MATCH(C707,Léky!$A$2:$A$11,0))</f>
        <v>Metformin 500 mg</v>
      </c>
      <c r="E707" s="2" t="str">
        <f aca="false">INDEX(Léky!$E$2:$E$11,MATCH(C707,Léky!$A$2:$A$11,0))</f>
        <v>Diabetes</v>
      </c>
      <c r="F707" s="2" t="n">
        <v>1</v>
      </c>
      <c r="G707" s="5" t="n">
        <f aca="false">INDEX(Léky!$H$2:$H$11,MATCH(C707,Léky!$A$2:$A$11,0))</f>
        <v>89</v>
      </c>
      <c r="H707" s="5" t="n">
        <f aca="false">F707*G707</f>
        <v>89</v>
      </c>
    </row>
    <row r="708" customFormat="false" ht="15" hidden="false" customHeight="false" outlineLevel="0" collapsed="false">
      <c r="A708" s="11" t="n">
        <v>45962</v>
      </c>
      <c r="B708" s="2" t="s">
        <v>131</v>
      </c>
      <c r="C708" s="2" t="s">
        <v>53</v>
      </c>
      <c r="D708" s="2" t="str">
        <f aca="false">INDEX(Léky!$B$2:$B$11,MATCH(C708,Léky!$A$2:$A$11,0))</f>
        <v>Ramipril 5 mg</v>
      </c>
      <c r="E708" s="2" t="str">
        <f aca="false">INDEX(Léky!$E$2:$E$11,MATCH(C708,Léky!$A$2:$A$11,0))</f>
        <v>Krevní tlak</v>
      </c>
      <c r="F708" s="2" t="n">
        <v>1</v>
      </c>
      <c r="G708" s="5" t="n">
        <f aca="false">INDEX(Léky!$H$2:$H$11,MATCH(C708,Léky!$A$2:$A$11,0))</f>
        <v>98</v>
      </c>
      <c r="H708" s="5" t="n">
        <f aca="false">F708*G708</f>
        <v>98</v>
      </c>
    </row>
    <row r="709" customFormat="false" ht="15" hidden="false" customHeight="false" outlineLevel="0" collapsed="false">
      <c r="A709" s="11" t="n">
        <v>45962</v>
      </c>
      <c r="B709" s="2" t="s">
        <v>131</v>
      </c>
      <c r="C709" s="2" t="s">
        <v>63</v>
      </c>
      <c r="D709" s="2" t="str">
        <f aca="false">INDEX(Léky!$B$2:$B$11,MATCH(C709,Léky!$A$2:$A$11,0))</f>
        <v>Omeprazol 20 mg</v>
      </c>
      <c r="E709" s="2" t="str">
        <f aca="false">INDEX(Léky!$E$2:$E$11,MATCH(C709,Léky!$A$2:$A$11,0))</f>
        <v>Trávení</v>
      </c>
      <c r="F709" s="2" t="n">
        <v>1</v>
      </c>
      <c r="G709" s="5" t="n">
        <f aca="false">INDEX(Léky!$H$2:$H$11,MATCH(C709,Léky!$A$2:$A$11,0))</f>
        <v>135</v>
      </c>
      <c r="H709" s="5" t="n">
        <f aca="false">F709*G709</f>
        <v>135</v>
      </c>
    </row>
    <row r="710" customFormat="false" ht="15" hidden="false" customHeight="false" outlineLevel="0" collapsed="false">
      <c r="A710" s="11" t="n">
        <v>45962</v>
      </c>
      <c r="B710" s="2" t="s">
        <v>131</v>
      </c>
      <c r="C710" s="2" t="s">
        <v>84</v>
      </c>
      <c r="D710" s="2" t="str">
        <f aca="false">INDEX(Léky!$B$2:$B$11,MATCH(C710,Léky!$A$2:$A$11,0))</f>
        <v>Amoxicilin 500 mg</v>
      </c>
      <c r="E710" s="2" t="str">
        <f aca="false">INDEX(Léky!$E$2:$E$11,MATCH(C710,Léky!$A$2:$A$11,0))</f>
        <v>Antibiotika</v>
      </c>
      <c r="F710" s="2" t="n">
        <v>1</v>
      </c>
      <c r="G710" s="5" t="n">
        <f aca="false">INDEX(Léky!$H$2:$H$11,MATCH(C710,Léky!$A$2:$A$11,0))</f>
        <v>120</v>
      </c>
      <c r="H710" s="5" t="n">
        <f aca="false">F710*G710</f>
        <v>120</v>
      </c>
    </row>
    <row r="711" customFormat="false" ht="15" hidden="false" customHeight="false" outlineLevel="0" collapsed="false">
      <c r="A711" s="11" t="n">
        <v>45962</v>
      </c>
      <c r="B711" s="2" t="s">
        <v>133</v>
      </c>
      <c r="C711" s="2" t="s">
        <v>48</v>
      </c>
      <c r="D711" s="2" t="str">
        <f aca="false">INDEX(Léky!$B$2:$B$11,MATCH(C711,Léky!$A$2:$A$11,0))</f>
        <v>Amlodipin 5 mg</v>
      </c>
      <c r="E711" s="2" t="str">
        <f aca="false">INDEX(Léky!$E$2:$E$11,MATCH(C711,Léky!$A$2:$A$11,0))</f>
        <v>Krevní tlak</v>
      </c>
      <c r="F711" s="2" t="n">
        <v>1</v>
      </c>
      <c r="G711" s="5" t="n">
        <f aca="false">INDEX(Léky!$H$2:$H$11,MATCH(C711,Léky!$A$2:$A$11,0))</f>
        <v>72</v>
      </c>
      <c r="H711" s="5" t="n">
        <f aca="false">F711*G711</f>
        <v>72</v>
      </c>
    </row>
    <row r="712" customFormat="false" ht="15" hidden="false" customHeight="false" outlineLevel="0" collapsed="false">
      <c r="A712" s="11" t="n">
        <v>45962</v>
      </c>
      <c r="B712" s="2" t="s">
        <v>133</v>
      </c>
      <c r="C712" s="2" t="s">
        <v>70</v>
      </c>
      <c r="D712" s="2" t="str">
        <f aca="false">INDEX(Léky!$B$2:$B$11,MATCH(C712,Léky!$A$2:$A$11,0))</f>
        <v>Sertralin 50 mg</v>
      </c>
      <c r="E712" s="2" t="str">
        <f aca="false">INDEX(Léky!$E$2:$E$11,MATCH(C712,Léky!$A$2:$A$11,0))</f>
        <v>Psychiatrie</v>
      </c>
      <c r="F712" s="2" t="n">
        <v>1</v>
      </c>
      <c r="G712" s="5" t="n">
        <f aca="false">INDEX(Léky!$H$2:$H$11,MATCH(C712,Léky!$A$2:$A$11,0))</f>
        <v>210</v>
      </c>
      <c r="H712" s="5" t="n">
        <f aca="false">F712*G712</f>
        <v>210</v>
      </c>
    </row>
    <row r="713" customFormat="false" ht="15" hidden="false" customHeight="false" outlineLevel="0" collapsed="false">
      <c r="A713" s="11" t="n">
        <v>45962</v>
      </c>
      <c r="B713" s="2" t="s">
        <v>134</v>
      </c>
      <c r="C713" s="2" t="s">
        <v>53</v>
      </c>
      <c r="D713" s="2" t="str">
        <f aca="false">INDEX(Léky!$B$2:$B$11,MATCH(C713,Léky!$A$2:$A$11,0))</f>
        <v>Ramipril 5 mg</v>
      </c>
      <c r="E713" s="2" t="str">
        <f aca="false">INDEX(Léky!$E$2:$E$11,MATCH(C713,Léky!$A$2:$A$11,0))</f>
        <v>Krevní tlak</v>
      </c>
      <c r="F713" s="2" t="n">
        <v>1</v>
      </c>
      <c r="G713" s="5" t="n">
        <f aca="false">INDEX(Léky!$H$2:$H$11,MATCH(C713,Léky!$A$2:$A$11,0))</f>
        <v>98</v>
      </c>
      <c r="H713" s="5" t="n">
        <f aca="false">F713*G713</f>
        <v>98</v>
      </c>
    </row>
    <row r="714" customFormat="false" ht="15" hidden="false" customHeight="false" outlineLevel="0" collapsed="false">
      <c r="A714" s="11" t="n">
        <v>45962</v>
      </c>
      <c r="B714" s="2" t="s">
        <v>134</v>
      </c>
      <c r="C714" s="2" t="s">
        <v>84</v>
      </c>
      <c r="D714" s="2" t="str">
        <f aca="false">INDEX(Léky!$B$2:$B$11,MATCH(C714,Léky!$A$2:$A$11,0))</f>
        <v>Amoxicilin 500 mg</v>
      </c>
      <c r="E714" s="2" t="str">
        <f aca="false">INDEX(Léky!$E$2:$E$11,MATCH(C714,Léky!$A$2:$A$11,0))</f>
        <v>Antibiotika</v>
      </c>
      <c r="F714" s="2" t="n">
        <v>1</v>
      </c>
      <c r="G714" s="5" t="n">
        <f aca="false">INDEX(Léky!$H$2:$H$11,MATCH(C714,Léky!$A$2:$A$11,0))</f>
        <v>120</v>
      </c>
      <c r="H714" s="5" t="n">
        <f aca="false">F714*G714</f>
        <v>120</v>
      </c>
    </row>
    <row r="715" customFormat="false" ht="15" hidden="false" customHeight="false" outlineLevel="0" collapsed="false">
      <c r="A715" s="11" t="n">
        <v>45962</v>
      </c>
      <c r="B715" s="2" t="s">
        <v>135</v>
      </c>
      <c r="C715" s="2" t="s">
        <v>63</v>
      </c>
      <c r="D715" s="2" t="str">
        <f aca="false">INDEX(Léky!$B$2:$B$11,MATCH(C715,Léky!$A$2:$A$11,0))</f>
        <v>Omeprazol 20 mg</v>
      </c>
      <c r="E715" s="2" t="str">
        <f aca="false">INDEX(Léky!$E$2:$E$11,MATCH(C715,Léky!$A$2:$A$11,0))</f>
        <v>Trávení</v>
      </c>
      <c r="F715" s="2" t="n">
        <v>1</v>
      </c>
      <c r="G715" s="5" t="n">
        <f aca="false">INDEX(Léky!$H$2:$H$11,MATCH(C715,Léky!$A$2:$A$11,0))</f>
        <v>135</v>
      </c>
      <c r="H715" s="5" t="n">
        <f aca="false">F715*G715</f>
        <v>135</v>
      </c>
    </row>
    <row r="716" customFormat="false" ht="15" hidden="false" customHeight="false" outlineLevel="0" collapsed="false">
      <c r="A716" s="11" t="n">
        <v>45962</v>
      </c>
      <c r="B716" s="2" t="s">
        <v>136</v>
      </c>
      <c r="C716" s="2" t="s">
        <v>34</v>
      </c>
      <c r="D716" s="2" t="str">
        <f aca="false">INDEX(Léky!$B$2:$B$11,MATCH(C716,Léky!$A$2:$A$11,0))</f>
        <v>Metformin 500 mg</v>
      </c>
      <c r="E716" s="2" t="str">
        <f aca="false">INDEX(Léky!$E$2:$E$11,MATCH(C716,Léky!$A$2:$A$11,0))</f>
        <v>Diabetes</v>
      </c>
      <c r="F716" s="2" t="n">
        <v>1</v>
      </c>
      <c r="G716" s="5" t="n">
        <f aca="false">INDEX(Léky!$H$2:$H$11,MATCH(C716,Léky!$A$2:$A$11,0))</f>
        <v>89</v>
      </c>
      <c r="H716" s="5" t="n">
        <f aca="false">F716*G716</f>
        <v>89</v>
      </c>
    </row>
    <row r="717" customFormat="false" ht="15" hidden="false" customHeight="false" outlineLevel="0" collapsed="false">
      <c r="A717" s="11" t="n">
        <v>45962</v>
      </c>
      <c r="B717" s="2" t="s">
        <v>137</v>
      </c>
      <c r="C717" s="2" t="s">
        <v>70</v>
      </c>
      <c r="D717" s="2" t="str">
        <f aca="false">INDEX(Léky!$B$2:$B$11,MATCH(C717,Léky!$A$2:$A$11,0))</f>
        <v>Sertralin 50 mg</v>
      </c>
      <c r="E717" s="2" t="str">
        <f aca="false">INDEX(Léky!$E$2:$E$11,MATCH(C717,Léky!$A$2:$A$11,0))</f>
        <v>Psychiatrie</v>
      </c>
      <c r="F717" s="2" t="n">
        <v>1</v>
      </c>
      <c r="G717" s="5" t="n">
        <f aca="false">INDEX(Léky!$H$2:$H$11,MATCH(C717,Léky!$A$2:$A$11,0))</f>
        <v>210</v>
      </c>
      <c r="H717" s="5" t="n">
        <f aca="false">F717*G717</f>
        <v>210</v>
      </c>
    </row>
    <row r="718" customFormat="false" ht="15" hidden="false" customHeight="false" outlineLevel="0" collapsed="false">
      <c r="A718" s="11" t="n">
        <v>45962</v>
      </c>
      <c r="B718" s="2" t="s">
        <v>138</v>
      </c>
      <c r="C718" s="2" t="s">
        <v>48</v>
      </c>
      <c r="D718" s="2" t="str">
        <f aca="false">INDEX(Léky!$B$2:$B$11,MATCH(C718,Léky!$A$2:$A$11,0))</f>
        <v>Amlodipin 5 mg</v>
      </c>
      <c r="E718" s="2" t="str">
        <f aca="false">INDEX(Léky!$E$2:$E$11,MATCH(C718,Léky!$A$2:$A$11,0))</f>
        <v>Krevní tlak</v>
      </c>
      <c r="F718" s="2" t="n">
        <v>1</v>
      </c>
      <c r="G718" s="5" t="n">
        <f aca="false">INDEX(Léky!$H$2:$H$11,MATCH(C718,Léky!$A$2:$A$11,0))</f>
        <v>72</v>
      </c>
      <c r="H718" s="5" t="n">
        <f aca="false">F718*G718</f>
        <v>72</v>
      </c>
    </row>
    <row r="719" customFormat="false" ht="15" hidden="false" customHeight="false" outlineLevel="0" collapsed="false">
      <c r="A719" s="11" t="n">
        <v>45962</v>
      </c>
      <c r="B719" s="2" t="s">
        <v>138</v>
      </c>
      <c r="C719" s="2" t="s">
        <v>57</v>
      </c>
      <c r="D719" s="2" t="str">
        <f aca="false">INDEX(Léky!$B$2:$B$11,MATCH(C719,Léky!$A$2:$A$11,0))</f>
        <v>Levothyroxin 50 µg</v>
      </c>
      <c r="E719" s="2" t="str">
        <f aca="false">INDEX(Léky!$E$2:$E$11,MATCH(C719,Léky!$A$2:$A$11,0))</f>
        <v>Štítná žláza</v>
      </c>
      <c r="F719" s="2" t="n">
        <v>1</v>
      </c>
      <c r="G719" s="5" t="n">
        <f aca="false">INDEX(Léky!$H$2:$H$11,MATCH(C719,Léky!$A$2:$A$11,0))</f>
        <v>118</v>
      </c>
      <c r="H719" s="5" t="n">
        <f aca="false">F719*G719</f>
        <v>118</v>
      </c>
    </row>
    <row r="720" customFormat="false" ht="15" hidden="false" customHeight="false" outlineLevel="0" collapsed="false">
      <c r="A720" s="11" t="n">
        <v>45962</v>
      </c>
      <c r="B720" s="2" t="s">
        <v>138</v>
      </c>
      <c r="C720" s="2" t="s">
        <v>63</v>
      </c>
      <c r="D720" s="2" t="str">
        <f aca="false">INDEX(Léky!$B$2:$B$11,MATCH(C720,Léky!$A$2:$A$11,0))</f>
        <v>Omeprazol 20 mg</v>
      </c>
      <c r="E720" s="2" t="str">
        <f aca="false">INDEX(Léky!$E$2:$E$11,MATCH(C720,Léky!$A$2:$A$11,0))</f>
        <v>Trávení</v>
      </c>
      <c r="F720" s="2" t="n">
        <v>1</v>
      </c>
      <c r="G720" s="5" t="n">
        <f aca="false">INDEX(Léky!$H$2:$H$11,MATCH(C720,Léky!$A$2:$A$11,0))</f>
        <v>135</v>
      </c>
      <c r="H720" s="5" t="n">
        <f aca="false">F720*G720</f>
        <v>135</v>
      </c>
    </row>
    <row r="721" customFormat="false" ht="15" hidden="false" customHeight="false" outlineLevel="0" collapsed="false">
      <c r="A721" s="11" t="n">
        <v>45962</v>
      </c>
      <c r="B721" s="2" t="s">
        <v>140</v>
      </c>
      <c r="C721" s="2" t="s">
        <v>42</v>
      </c>
      <c r="D721" s="2" t="str">
        <f aca="false">INDEX(Léky!$B$2:$B$11,MATCH(C721,Léky!$A$2:$A$11,0))</f>
        <v>Atorvastatin 20 mg</v>
      </c>
      <c r="E721" s="2" t="str">
        <f aca="false">INDEX(Léky!$E$2:$E$11,MATCH(C721,Léky!$A$2:$A$11,0))</f>
        <v>Cholesterol</v>
      </c>
      <c r="F721" s="2" t="n">
        <v>1</v>
      </c>
      <c r="G721" s="5" t="n">
        <f aca="false">INDEX(Léky!$H$2:$H$11,MATCH(C721,Léky!$A$2:$A$11,0))</f>
        <v>145</v>
      </c>
      <c r="H721" s="5" t="n">
        <f aca="false">F721*G721</f>
        <v>145</v>
      </c>
    </row>
    <row r="722" customFormat="false" ht="15" hidden="false" customHeight="false" outlineLevel="0" collapsed="false">
      <c r="A722" s="11" t="n">
        <v>45962</v>
      </c>
      <c r="B722" s="2" t="s">
        <v>140</v>
      </c>
      <c r="C722" s="2" t="s">
        <v>48</v>
      </c>
      <c r="D722" s="2" t="str">
        <f aca="false">INDEX(Léky!$B$2:$B$11,MATCH(C722,Léky!$A$2:$A$11,0))</f>
        <v>Amlodipin 5 mg</v>
      </c>
      <c r="E722" s="2" t="str">
        <f aca="false">INDEX(Léky!$E$2:$E$11,MATCH(C722,Léky!$A$2:$A$11,0))</f>
        <v>Krevní tlak</v>
      </c>
      <c r="F722" s="2" t="n">
        <v>1</v>
      </c>
      <c r="G722" s="5" t="n">
        <f aca="false">INDEX(Léky!$H$2:$H$11,MATCH(C722,Léky!$A$2:$A$11,0))</f>
        <v>72</v>
      </c>
      <c r="H722" s="5" t="n">
        <f aca="false">F722*G722</f>
        <v>72</v>
      </c>
    </row>
    <row r="723" customFormat="false" ht="15" hidden="false" customHeight="false" outlineLevel="0" collapsed="false">
      <c r="A723" s="11" t="n">
        <v>45962</v>
      </c>
      <c r="B723" s="2" t="s">
        <v>141</v>
      </c>
      <c r="C723" s="2" t="s">
        <v>53</v>
      </c>
      <c r="D723" s="2" t="str">
        <f aca="false">INDEX(Léky!$B$2:$B$11,MATCH(C723,Léky!$A$2:$A$11,0))</f>
        <v>Ramipril 5 mg</v>
      </c>
      <c r="E723" s="2" t="str">
        <f aca="false">INDEX(Léky!$E$2:$E$11,MATCH(C723,Léky!$A$2:$A$11,0))</f>
        <v>Krevní tlak</v>
      </c>
      <c r="F723" s="2" t="n">
        <v>1</v>
      </c>
      <c r="G723" s="5" t="n">
        <f aca="false">INDEX(Léky!$H$2:$H$11,MATCH(C723,Léky!$A$2:$A$11,0))</f>
        <v>98</v>
      </c>
      <c r="H723" s="5" t="n">
        <f aca="false">F723*G723</f>
        <v>98</v>
      </c>
    </row>
    <row r="724" customFormat="false" ht="15" hidden="false" customHeight="false" outlineLevel="0" collapsed="false">
      <c r="A724" s="11" t="n">
        <v>45962</v>
      </c>
      <c r="B724" s="2" t="s">
        <v>144</v>
      </c>
      <c r="C724" s="2" t="s">
        <v>63</v>
      </c>
      <c r="D724" s="2" t="str">
        <f aca="false">INDEX(Léky!$B$2:$B$11,MATCH(C724,Léky!$A$2:$A$11,0))</f>
        <v>Omeprazol 20 mg</v>
      </c>
      <c r="E724" s="2" t="str">
        <f aca="false">INDEX(Léky!$E$2:$E$11,MATCH(C724,Léky!$A$2:$A$11,0))</f>
        <v>Trávení</v>
      </c>
      <c r="F724" s="2" t="n">
        <v>1</v>
      </c>
      <c r="G724" s="5" t="n">
        <f aca="false">INDEX(Léky!$H$2:$H$11,MATCH(C724,Léky!$A$2:$A$11,0))</f>
        <v>135</v>
      </c>
      <c r="H724" s="5" t="n">
        <f aca="false">F724*G724</f>
        <v>135</v>
      </c>
    </row>
    <row r="725" customFormat="false" ht="15" hidden="false" customHeight="false" outlineLevel="0" collapsed="false">
      <c r="A725" s="11" t="n">
        <v>45962</v>
      </c>
      <c r="B725" s="2" t="s">
        <v>144</v>
      </c>
      <c r="C725" s="2" t="s">
        <v>84</v>
      </c>
      <c r="D725" s="2" t="str">
        <f aca="false">INDEX(Léky!$B$2:$B$11,MATCH(C725,Léky!$A$2:$A$11,0))</f>
        <v>Amoxicilin 500 mg</v>
      </c>
      <c r="E725" s="2" t="str">
        <f aca="false">INDEX(Léky!$E$2:$E$11,MATCH(C725,Léky!$A$2:$A$11,0))</f>
        <v>Antibiotika</v>
      </c>
      <c r="F725" s="2" t="n">
        <v>1</v>
      </c>
      <c r="G725" s="5" t="n">
        <f aca="false">INDEX(Léky!$H$2:$H$11,MATCH(C725,Léky!$A$2:$A$11,0))</f>
        <v>120</v>
      </c>
      <c r="H725" s="5" t="n">
        <f aca="false">F725*G725</f>
        <v>120</v>
      </c>
    </row>
    <row r="726" customFormat="false" ht="15" hidden="false" customHeight="false" outlineLevel="0" collapsed="false">
      <c r="A726" s="11" t="n">
        <v>45962</v>
      </c>
      <c r="B726" s="2" t="s">
        <v>145</v>
      </c>
      <c r="C726" s="2" t="s">
        <v>42</v>
      </c>
      <c r="D726" s="2" t="str">
        <f aca="false">INDEX(Léky!$B$2:$B$11,MATCH(C726,Léky!$A$2:$A$11,0))</f>
        <v>Atorvastatin 20 mg</v>
      </c>
      <c r="E726" s="2" t="str">
        <f aca="false">INDEX(Léky!$E$2:$E$11,MATCH(C726,Léky!$A$2:$A$11,0))</f>
        <v>Cholesterol</v>
      </c>
      <c r="F726" s="2" t="n">
        <v>1</v>
      </c>
      <c r="G726" s="5" t="n">
        <f aca="false">INDEX(Léky!$H$2:$H$11,MATCH(C726,Léky!$A$2:$A$11,0))</f>
        <v>145</v>
      </c>
      <c r="H726" s="5" t="n">
        <f aca="false">F726*G726</f>
        <v>145</v>
      </c>
    </row>
    <row r="727" customFormat="false" ht="15" hidden="false" customHeight="false" outlineLevel="0" collapsed="false">
      <c r="A727" s="11" t="n">
        <v>45962</v>
      </c>
      <c r="B727" s="2" t="s">
        <v>145</v>
      </c>
      <c r="C727" s="2" t="s">
        <v>57</v>
      </c>
      <c r="D727" s="2" t="str">
        <f aca="false">INDEX(Léky!$B$2:$B$11,MATCH(C727,Léky!$A$2:$A$11,0))</f>
        <v>Levothyroxin 50 µg</v>
      </c>
      <c r="E727" s="2" t="str">
        <f aca="false">INDEX(Léky!$E$2:$E$11,MATCH(C727,Léky!$A$2:$A$11,0))</f>
        <v>Štítná žláza</v>
      </c>
      <c r="F727" s="2" t="n">
        <v>1</v>
      </c>
      <c r="G727" s="5" t="n">
        <f aca="false">INDEX(Léky!$H$2:$H$11,MATCH(C727,Léky!$A$2:$A$11,0))</f>
        <v>118</v>
      </c>
      <c r="H727" s="5" t="n">
        <f aca="false">F727*G727</f>
        <v>118</v>
      </c>
    </row>
    <row r="728" customFormat="false" ht="15" hidden="false" customHeight="false" outlineLevel="0" collapsed="false">
      <c r="A728" s="11" t="n">
        <v>45962</v>
      </c>
      <c r="B728" s="2" t="s">
        <v>147</v>
      </c>
      <c r="C728" s="2" t="s">
        <v>34</v>
      </c>
      <c r="D728" s="2" t="str">
        <f aca="false">INDEX(Léky!$B$2:$B$11,MATCH(C728,Léky!$A$2:$A$11,0))</f>
        <v>Metformin 500 mg</v>
      </c>
      <c r="E728" s="2" t="str">
        <f aca="false">INDEX(Léky!$E$2:$E$11,MATCH(C728,Léky!$A$2:$A$11,0))</f>
        <v>Diabetes</v>
      </c>
      <c r="F728" s="2" t="n">
        <v>1</v>
      </c>
      <c r="G728" s="5" t="n">
        <f aca="false">INDEX(Léky!$H$2:$H$11,MATCH(C728,Léky!$A$2:$A$11,0))</f>
        <v>89</v>
      </c>
      <c r="H728" s="5" t="n">
        <f aca="false">F728*G728</f>
        <v>89</v>
      </c>
    </row>
    <row r="729" customFormat="false" ht="15" hidden="false" customHeight="false" outlineLevel="0" collapsed="false">
      <c r="A729" s="11" t="n">
        <v>45962</v>
      </c>
      <c r="B729" s="2" t="s">
        <v>149</v>
      </c>
      <c r="C729" s="2" t="s">
        <v>48</v>
      </c>
      <c r="D729" s="2" t="str">
        <f aca="false">INDEX(Léky!$B$2:$B$11,MATCH(C729,Léky!$A$2:$A$11,0))</f>
        <v>Amlodipin 5 mg</v>
      </c>
      <c r="E729" s="2" t="str">
        <f aca="false">INDEX(Léky!$E$2:$E$11,MATCH(C729,Léky!$A$2:$A$11,0))</f>
        <v>Krevní tlak</v>
      </c>
      <c r="F729" s="2" t="n">
        <v>1</v>
      </c>
      <c r="G729" s="5" t="n">
        <f aca="false">INDEX(Léky!$H$2:$H$11,MATCH(C729,Léky!$A$2:$A$11,0))</f>
        <v>72</v>
      </c>
      <c r="H729" s="5" t="n">
        <f aca="false">F729*G729</f>
        <v>72</v>
      </c>
    </row>
    <row r="730" customFormat="false" ht="15" hidden="false" customHeight="false" outlineLevel="0" collapsed="false">
      <c r="A730" s="11" t="n">
        <v>45962</v>
      </c>
      <c r="B730" s="2" t="s">
        <v>150</v>
      </c>
      <c r="C730" s="2" t="s">
        <v>53</v>
      </c>
      <c r="D730" s="2" t="str">
        <f aca="false">INDEX(Léky!$B$2:$B$11,MATCH(C730,Léky!$A$2:$A$11,0))</f>
        <v>Ramipril 5 mg</v>
      </c>
      <c r="E730" s="2" t="str">
        <f aca="false">INDEX(Léky!$E$2:$E$11,MATCH(C730,Léky!$A$2:$A$11,0))</f>
        <v>Krevní tlak</v>
      </c>
      <c r="F730" s="2" t="n">
        <v>1</v>
      </c>
      <c r="G730" s="5" t="n">
        <f aca="false">INDEX(Léky!$H$2:$H$11,MATCH(C730,Léky!$A$2:$A$11,0))</f>
        <v>98</v>
      </c>
      <c r="H730" s="5" t="n">
        <f aca="false">F730*G730</f>
        <v>98</v>
      </c>
    </row>
    <row r="731" customFormat="false" ht="15" hidden="false" customHeight="false" outlineLevel="0" collapsed="false">
      <c r="A731" s="11" t="n">
        <v>45962</v>
      </c>
      <c r="B731" s="2" t="s">
        <v>150</v>
      </c>
      <c r="C731" s="2" t="s">
        <v>57</v>
      </c>
      <c r="D731" s="2" t="str">
        <f aca="false">INDEX(Léky!$B$2:$B$11,MATCH(C731,Léky!$A$2:$A$11,0))</f>
        <v>Levothyroxin 50 µg</v>
      </c>
      <c r="E731" s="2" t="str">
        <f aca="false">INDEX(Léky!$E$2:$E$11,MATCH(C731,Léky!$A$2:$A$11,0))</f>
        <v>Štítná žláza</v>
      </c>
      <c r="F731" s="2" t="n">
        <v>1</v>
      </c>
      <c r="G731" s="5" t="n">
        <f aca="false">INDEX(Léky!$H$2:$H$11,MATCH(C731,Léky!$A$2:$A$11,0))</f>
        <v>118</v>
      </c>
      <c r="H731" s="5" t="n">
        <f aca="false">F731*G731</f>
        <v>118</v>
      </c>
    </row>
    <row r="732" customFormat="false" ht="15" hidden="false" customHeight="false" outlineLevel="0" collapsed="false">
      <c r="A732" s="11" t="n">
        <v>45962</v>
      </c>
      <c r="B732" s="2" t="s">
        <v>151</v>
      </c>
      <c r="C732" s="2" t="s">
        <v>63</v>
      </c>
      <c r="D732" s="2" t="str">
        <f aca="false">INDEX(Léky!$B$2:$B$11,MATCH(C732,Léky!$A$2:$A$11,0))</f>
        <v>Omeprazol 20 mg</v>
      </c>
      <c r="E732" s="2" t="str">
        <f aca="false">INDEX(Léky!$E$2:$E$11,MATCH(C732,Léky!$A$2:$A$11,0))</f>
        <v>Trávení</v>
      </c>
      <c r="F732" s="2" t="n">
        <v>1</v>
      </c>
      <c r="G732" s="5" t="n">
        <f aca="false">INDEX(Léky!$H$2:$H$11,MATCH(C732,Léky!$A$2:$A$11,0))</f>
        <v>135</v>
      </c>
      <c r="H732" s="5" t="n">
        <f aca="false">F732*G732</f>
        <v>135</v>
      </c>
    </row>
    <row r="733" customFormat="false" ht="15" hidden="false" customHeight="false" outlineLevel="0" collapsed="false">
      <c r="A733" s="11" t="n">
        <v>45962</v>
      </c>
      <c r="B733" s="2" t="s">
        <v>152</v>
      </c>
      <c r="C733" s="2" t="s">
        <v>53</v>
      </c>
      <c r="D733" s="2" t="str">
        <f aca="false">INDEX(Léky!$B$2:$B$11,MATCH(C733,Léky!$A$2:$A$11,0))</f>
        <v>Ramipril 5 mg</v>
      </c>
      <c r="E733" s="2" t="str">
        <f aca="false">INDEX(Léky!$E$2:$E$11,MATCH(C733,Léky!$A$2:$A$11,0))</f>
        <v>Krevní tlak</v>
      </c>
      <c r="F733" s="2" t="n">
        <v>1</v>
      </c>
      <c r="G733" s="5" t="n">
        <f aca="false">INDEX(Léky!$H$2:$H$11,MATCH(C733,Léky!$A$2:$A$11,0))</f>
        <v>98</v>
      </c>
      <c r="H733" s="5" t="n">
        <f aca="false">F733*G733</f>
        <v>98</v>
      </c>
    </row>
    <row r="734" customFormat="false" ht="15" hidden="false" customHeight="false" outlineLevel="0" collapsed="false">
      <c r="A734" s="11" t="n">
        <v>45962</v>
      </c>
      <c r="B734" s="2" t="s">
        <v>152</v>
      </c>
      <c r="C734" s="2" t="s">
        <v>76</v>
      </c>
      <c r="D734" s="2" t="str">
        <f aca="false">INDEX(Léky!$B$2:$B$11,MATCH(C734,Léky!$A$2:$A$11,0))</f>
        <v>Salbutamol inhalátor</v>
      </c>
      <c r="E734" s="2" t="str">
        <f aca="false">INDEX(Léky!$E$2:$E$11,MATCH(C734,Léky!$A$2:$A$11,0))</f>
        <v>Dýchací cesty</v>
      </c>
      <c r="F734" s="2" t="n">
        <v>1</v>
      </c>
      <c r="G734" s="5" t="n">
        <f aca="false">INDEX(Léky!$H$2:$H$11,MATCH(C734,Léky!$A$2:$A$11,0))</f>
        <v>165</v>
      </c>
      <c r="H734" s="5" t="n">
        <f aca="false">F734*G734</f>
        <v>165</v>
      </c>
    </row>
    <row r="735" customFormat="false" ht="15" hidden="false" customHeight="false" outlineLevel="0" collapsed="false">
      <c r="A735" s="11" t="n">
        <v>45962</v>
      </c>
      <c r="B735" s="2" t="s">
        <v>154</v>
      </c>
      <c r="C735" s="2" t="s">
        <v>48</v>
      </c>
      <c r="D735" s="2" t="str">
        <f aca="false">INDEX(Léky!$B$2:$B$11,MATCH(C735,Léky!$A$2:$A$11,0))</f>
        <v>Amlodipin 5 mg</v>
      </c>
      <c r="E735" s="2" t="str">
        <f aca="false">INDEX(Léky!$E$2:$E$11,MATCH(C735,Léky!$A$2:$A$11,0))</f>
        <v>Krevní tlak</v>
      </c>
      <c r="F735" s="2" t="n">
        <v>1</v>
      </c>
      <c r="G735" s="5" t="n">
        <f aca="false">INDEX(Léky!$H$2:$H$11,MATCH(C735,Léky!$A$2:$A$11,0))</f>
        <v>72</v>
      </c>
      <c r="H735" s="5" t="n">
        <f aca="false">F735*G735</f>
        <v>72</v>
      </c>
    </row>
    <row r="736" customFormat="false" ht="15" hidden="false" customHeight="false" outlineLevel="0" collapsed="false">
      <c r="A736" s="11" t="n">
        <v>45962</v>
      </c>
      <c r="B736" s="2" t="s">
        <v>155</v>
      </c>
      <c r="C736" s="2" t="s">
        <v>42</v>
      </c>
      <c r="D736" s="2" t="str">
        <f aca="false">INDEX(Léky!$B$2:$B$11,MATCH(C736,Léky!$A$2:$A$11,0))</f>
        <v>Atorvastatin 20 mg</v>
      </c>
      <c r="E736" s="2" t="str">
        <f aca="false">INDEX(Léky!$E$2:$E$11,MATCH(C736,Léky!$A$2:$A$11,0))</f>
        <v>Cholesterol</v>
      </c>
      <c r="F736" s="2" t="n">
        <v>1</v>
      </c>
      <c r="G736" s="5" t="n">
        <f aca="false">INDEX(Léky!$H$2:$H$11,MATCH(C736,Léky!$A$2:$A$11,0))</f>
        <v>145</v>
      </c>
      <c r="H736" s="5" t="n">
        <f aca="false">F736*G736</f>
        <v>145</v>
      </c>
    </row>
    <row r="737" customFormat="false" ht="15" hidden="false" customHeight="false" outlineLevel="0" collapsed="false">
      <c r="A737" s="11" t="n">
        <v>45962</v>
      </c>
      <c r="B737" s="2" t="s">
        <v>156</v>
      </c>
      <c r="C737" s="2" t="s">
        <v>42</v>
      </c>
      <c r="D737" s="2" t="str">
        <f aca="false">INDEX(Léky!$B$2:$B$11,MATCH(C737,Léky!$A$2:$A$11,0))</f>
        <v>Atorvastatin 20 mg</v>
      </c>
      <c r="E737" s="2" t="str">
        <f aca="false">INDEX(Léky!$E$2:$E$11,MATCH(C737,Léky!$A$2:$A$11,0))</f>
        <v>Cholesterol</v>
      </c>
      <c r="F737" s="2" t="n">
        <v>1</v>
      </c>
      <c r="G737" s="5" t="n">
        <f aca="false">INDEX(Léky!$H$2:$H$11,MATCH(C737,Léky!$A$2:$A$11,0))</f>
        <v>145</v>
      </c>
      <c r="H737" s="5" t="n">
        <f aca="false">F737*G737</f>
        <v>145</v>
      </c>
    </row>
    <row r="738" customFormat="false" ht="15" hidden="false" customHeight="false" outlineLevel="0" collapsed="false">
      <c r="A738" s="11" t="n">
        <v>45962</v>
      </c>
      <c r="B738" s="2" t="s">
        <v>156</v>
      </c>
      <c r="C738" s="2" t="s">
        <v>53</v>
      </c>
      <c r="D738" s="2" t="str">
        <f aca="false">INDEX(Léky!$B$2:$B$11,MATCH(C738,Léky!$A$2:$A$11,0))</f>
        <v>Ramipril 5 mg</v>
      </c>
      <c r="E738" s="2" t="str">
        <f aca="false">INDEX(Léky!$E$2:$E$11,MATCH(C738,Léky!$A$2:$A$11,0))</f>
        <v>Krevní tlak</v>
      </c>
      <c r="F738" s="2" t="n">
        <v>1</v>
      </c>
      <c r="G738" s="5" t="n">
        <f aca="false">INDEX(Léky!$H$2:$H$11,MATCH(C738,Léky!$A$2:$A$11,0))</f>
        <v>98</v>
      </c>
      <c r="H738" s="5" t="n">
        <f aca="false">F738*G738</f>
        <v>98</v>
      </c>
    </row>
    <row r="739" customFormat="false" ht="15" hidden="false" customHeight="false" outlineLevel="0" collapsed="false">
      <c r="A739" s="11" t="n">
        <v>45962</v>
      </c>
      <c r="B739" s="2" t="s">
        <v>156</v>
      </c>
      <c r="C739" s="2" t="s">
        <v>63</v>
      </c>
      <c r="D739" s="2" t="str">
        <f aca="false">INDEX(Léky!$B$2:$B$11,MATCH(C739,Léky!$A$2:$A$11,0))</f>
        <v>Omeprazol 20 mg</v>
      </c>
      <c r="E739" s="2" t="str">
        <f aca="false">INDEX(Léky!$E$2:$E$11,MATCH(C739,Léky!$A$2:$A$11,0))</f>
        <v>Trávení</v>
      </c>
      <c r="F739" s="2" t="n">
        <v>1</v>
      </c>
      <c r="G739" s="5" t="n">
        <f aca="false">INDEX(Léky!$H$2:$H$11,MATCH(C739,Léky!$A$2:$A$11,0))</f>
        <v>135</v>
      </c>
      <c r="H739" s="5" t="n">
        <f aca="false">F739*G739</f>
        <v>135</v>
      </c>
    </row>
    <row r="740" customFormat="false" ht="15" hidden="false" customHeight="false" outlineLevel="0" collapsed="false">
      <c r="A740" s="11" t="n">
        <v>45962</v>
      </c>
      <c r="B740" s="2" t="s">
        <v>157</v>
      </c>
      <c r="C740" s="2" t="s">
        <v>42</v>
      </c>
      <c r="D740" s="2" t="str">
        <f aca="false">INDEX(Léky!$B$2:$B$11,MATCH(C740,Léky!$A$2:$A$11,0))</f>
        <v>Atorvastatin 20 mg</v>
      </c>
      <c r="E740" s="2" t="str">
        <f aca="false">INDEX(Léky!$E$2:$E$11,MATCH(C740,Léky!$A$2:$A$11,0))</f>
        <v>Cholesterol</v>
      </c>
      <c r="F740" s="2" t="n">
        <v>1</v>
      </c>
      <c r="G740" s="5" t="n">
        <f aca="false">INDEX(Léky!$H$2:$H$11,MATCH(C740,Léky!$A$2:$A$11,0))</f>
        <v>145</v>
      </c>
      <c r="H740" s="5" t="n">
        <f aca="false">F740*G740</f>
        <v>145</v>
      </c>
    </row>
    <row r="741" customFormat="false" ht="15" hidden="false" customHeight="false" outlineLevel="0" collapsed="false">
      <c r="A741" s="11" t="n">
        <v>45962</v>
      </c>
      <c r="B741" s="2" t="s">
        <v>157</v>
      </c>
      <c r="C741" s="2" t="s">
        <v>48</v>
      </c>
      <c r="D741" s="2" t="str">
        <f aca="false">INDEX(Léky!$B$2:$B$11,MATCH(C741,Léky!$A$2:$A$11,0))</f>
        <v>Amlodipin 5 mg</v>
      </c>
      <c r="E741" s="2" t="str">
        <f aca="false">INDEX(Léky!$E$2:$E$11,MATCH(C741,Léky!$A$2:$A$11,0))</f>
        <v>Krevní tlak</v>
      </c>
      <c r="F741" s="2" t="n">
        <v>1</v>
      </c>
      <c r="G741" s="5" t="n">
        <f aca="false">INDEX(Léky!$H$2:$H$11,MATCH(C741,Léky!$A$2:$A$11,0))</f>
        <v>72</v>
      </c>
      <c r="H741" s="5" t="n">
        <f aca="false">F741*G741</f>
        <v>72</v>
      </c>
    </row>
    <row r="742" customFormat="false" ht="15" hidden="false" customHeight="false" outlineLevel="0" collapsed="false">
      <c r="A742" s="11" t="n">
        <v>45962</v>
      </c>
      <c r="B742" s="2" t="s">
        <v>157</v>
      </c>
      <c r="C742" s="2" t="s">
        <v>57</v>
      </c>
      <c r="D742" s="2" t="str">
        <f aca="false">INDEX(Léky!$B$2:$B$11,MATCH(C742,Léky!$A$2:$A$11,0))</f>
        <v>Levothyroxin 50 µg</v>
      </c>
      <c r="E742" s="2" t="str">
        <f aca="false">INDEX(Léky!$E$2:$E$11,MATCH(C742,Léky!$A$2:$A$11,0))</f>
        <v>Štítná žláza</v>
      </c>
      <c r="F742" s="2" t="n">
        <v>1</v>
      </c>
      <c r="G742" s="5" t="n">
        <f aca="false">INDEX(Léky!$H$2:$H$11,MATCH(C742,Léky!$A$2:$A$11,0))</f>
        <v>118</v>
      </c>
      <c r="H742" s="5" t="n">
        <f aca="false">F742*G742</f>
        <v>118</v>
      </c>
    </row>
    <row r="743" customFormat="false" ht="15" hidden="false" customHeight="false" outlineLevel="0" collapsed="false">
      <c r="A743" s="11" t="n">
        <v>45962</v>
      </c>
      <c r="B743" s="2" t="s">
        <v>157</v>
      </c>
      <c r="C743" s="2" t="s">
        <v>84</v>
      </c>
      <c r="D743" s="2" t="str">
        <f aca="false">INDEX(Léky!$B$2:$B$11,MATCH(C743,Léky!$A$2:$A$11,0))</f>
        <v>Amoxicilin 500 mg</v>
      </c>
      <c r="E743" s="2" t="str">
        <f aca="false">INDEX(Léky!$E$2:$E$11,MATCH(C743,Léky!$A$2:$A$11,0))</f>
        <v>Antibiotika</v>
      </c>
      <c r="F743" s="2" t="n">
        <v>1</v>
      </c>
      <c r="G743" s="5" t="n">
        <f aca="false">INDEX(Léky!$H$2:$H$11,MATCH(C743,Léky!$A$2:$A$11,0))</f>
        <v>120</v>
      </c>
      <c r="H743" s="5" t="n">
        <f aca="false">F743*G743</f>
        <v>120</v>
      </c>
    </row>
    <row r="744" customFormat="false" ht="15" hidden="false" customHeight="false" outlineLevel="0" collapsed="false">
      <c r="A744" s="11" t="n">
        <v>45962</v>
      </c>
      <c r="B744" s="2" t="s">
        <v>159</v>
      </c>
      <c r="C744" s="2" t="s">
        <v>57</v>
      </c>
      <c r="D744" s="2" t="str">
        <f aca="false">INDEX(Léky!$B$2:$B$11,MATCH(C744,Léky!$A$2:$A$11,0))</f>
        <v>Levothyroxin 50 µg</v>
      </c>
      <c r="E744" s="2" t="str">
        <f aca="false">INDEX(Léky!$E$2:$E$11,MATCH(C744,Léky!$A$2:$A$11,0))</f>
        <v>Štítná žláza</v>
      </c>
      <c r="F744" s="2" t="n">
        <v>1</v>
      </c>
      <c r="G744" s="5" t="n">
        <f aca="false">INDEX(Léky!$H$2:$H$11,MATCH(C744,Léky!$A$2:$A$11,0))</f>
        <v>118</v>
      </c>
      <c r="H744" s="5" t="n">
        <f aca="false">F744*G744</f>
        <v>118</v>
      </c>
    </row>
    <row r="745" customFormat="false" ht="15" hidden="false" customHeight="false" outlineLevel="0" collapsed="false">
      <c r="A745" s="11" t="n">
        <v>45962</v>
      </c>
      <c r="B745" s="2" t="s">
        <v>160</v>
      </c>
      <c r="C745" s="2" t="s">
        <v>48</v>
      </c>
      <c r="D745" s="2" t="str">
        <f aca="false">INDEX(Léky!$B$2:$B$11,MATCH(C745,Léky!$A$2:$A$11,0))</f>
        <v>Amlodipin 5 mg</v>
      </c>
      <c r="E745" s="2" t="str">
        <f aca="false">INDEX(Léky!$E$2:$E$11,MATCH(C745,Léky!$A$2:$A$11,0))</f>
        <v>Krevní tlak</v>
      </c>
      <c r="F745" s="2" t="n">
        <v>1</v>
      </c>
      <c r="G745" s="5" t="n">
        <f aca="false">INDEX(Léky!$H$2:$H$11,MATCH(C745,Léky!$A$2:$A$11,0))</f>
        <v>72</v>
      </c>
      <c r="H745" s="5" t="n">
        <f aca="false">F745*G745</f>
        <v>72</v>
      </c>
    </row>
    <row r="746" customFormat="false" ht="15" hidden="false" customHeight="false" outlineLevel="0" collapsed="false">
      <c r="A746" s="11" t="n">
        <v>45962</v>
      </c>
      <c r="B746" s="2" t="s">
        <v>160</v>
      </c>
      <c r="C746" s="2" t="s">
        <v>57</v>
      </c>
      <c r="D746" s="2" t="str">
        <f aca="false">INDEX(Léky!$B$2:$B$11,MATCH(C746,Léky!$A$2:$A$11,0))</f>
        <v>Levothyroxin 50 µg</v>
      </c>
      <c r="E746" s="2" t="str">
        <f aca="false">INDEX(Léky!$E$2:$E$11,MATCH(C746,Léky!$A$2:$A$11,0))</f>
        <v>Štítná žláza</v>
      </c>
      <c r="F746" s="2" t="n">
        <v>1</v>
      </c>
      <c r="G746" s="5" t="n">
        <f aca="false">INDEX(Léky!$H$2:$H$11,MATCH(C746,Léky!$A$2:$A$11,0))</f>
        <v>118</v>
      </c>
      <c r="H746" s="5" t="n">
        <f aca="false">F746*G746</f>
        <v>118</v>
      </c>
    </row>
    <row r="747" customFormat="false" ht="15" hidden="false" customHeight="false" outlineLevel="0" collapsed="false">
      <c r="A747" s="11" t="n">
        <v>45962</v>
      </c>
      <c r="B747" s="2" t="s">
        <v>160</v>
      </c>
      <c r="C747" s="2" t="s">
        <v>91</v>
      </c>
      <c r="D747" s="2" t="str">
        <f aca="false">INDEX(Léky!$B$2:$B$11,MATCH(C747,Léky!$A$2:$A$11,0))</f>
        <v>Ibuprofen 400 mg</v>
      </c>
      <c r="E747" s="2" t="str">
        <f aca="false">INDEX(Léky!$E$2:$E$11,MATCH(C747,Léky!$A$2:$A$11,0))</f>
        <v>Bolest</v>
      </c>
      <c r="F747" s="2" t="n">
        <v>1</v>
      </c>
      <c r="G747" s="5" t="n">
        <f aca="false">INDEX(Léky!$H$2:$H$11,MATCH(C747,Léky!$A$2:$A$11,0))</f>
        <v>65</v>
      </c>
      <c r="H747" s="5" t="n">
        <f aca="false">F747*G747</f>
        <v>65</v>
      </c>
    </row>
    <row r="748" customFormat="false" ht="15" hidden="false" customHeight="false" outlineLevel="0" collapsed="false">
      <c r="A748" s="11" t="n">
        <v>45962</v>
      </c>
      <c r="B748" s="2" t="s">
        <v>161</v>
      </c>
      <c r="C748" s="2" t="s">
        <v>34</v>
      </c>
      <c r="D748" s="2" t="str">
        <f aca="false">INDEX(Léky!$B$2:$B$11,MATCH(C748,Léky!$A$2:$A$11,0))</f>
        <v>Metformin 500 mg</v>
      </c>
      <c r="E748" s="2" t="str">
        <f aca="false">INDEX(Léky!$E$2:$E$11,MATCH(C748,Léky!$A$2:$A$11,0))</f>
        <v>Diabetes</v>
      </c>
      <c r="F748" s="2" t="n">
        <v>1</v>
      </c>
      <c r="G748" s="5" t="n">
        <f aca="false">INDEX(Léky!$H$2:$H$11,MATCH(C748,Léky!$A$2:$A$11,0))</f>
        <v>89</v>
      </c>
      <c r="H748" s="5" t="n">
        <f aca="false">F748*G748</f>
        <v>89</v>
      </c>
    </row>
    <row r="749" customFormat="false" ht="15" hidden="false" customHeight="false" outlineLevel="0" collapsed="false">
      <c r="A749" s="11" t="n">
        <v>45962</v>
      </c>
      <c r="B749" s="2" t="s">
        <v>161</v>
      </c>
      <c r="C749" s="2" t="s">
        <v>53</v>
      </c>
      <c r="D749" s="2" t="str">
        <f aca="false">INDEX(Léky!$B$2:$B$11,MATCH(C749,Léky!$A$2:$A$11,0))</f>
        <v>Ramipril 5 mg</v>
      </c>
      <c r="E749" s="2" t="str">
        <f aca="false">INDEX(Léky!$E$2:$E$11,MATCH(C749,Léky!$A$2:$A$11,0))</f>
        <v>Krevní tlak</v>
      </c>
      <c r="F749" s="2" t="n">
        <v>1</v>
      </c>
      <c r="G749" s="5" t="n">
        <f aca="false">INDEX(Léky!$H$2:$H$11,MATCH(C749,Léky!$A$2:$A$11,0))</f>
        <v>98</v>
      </c>
      <c r="H749" s="5" t="n">
        <f aca="false">F749*G749</f>
        <v>98</v>
      </c>
    </row>
    <row r="750" customFormat="false" ht="15" hidden="false" customHeight="false" outlineLevel="0" collapsed="false">
      <c r="A750" s="11" t="n">
        <v>45962</v>
      </c>
      <c r="B750" s="2" t="s">
        <v>161</v>
      </c>
      <c r="C750" s="2" t="s">
        <v>57</v>
      </c>
      <c r="D750" s="2" t="str">
        <f aca="false">INDEX(Léky!$B$2:$B$11,MATCH(C750,Léky!$A$2:$A$11,0))</f>
        <v>Levothyroxin 50 µg</v>
      </c>
      <c r="E750" s="2" t="str">
        <f aca="false">INDEX(Léky!$E$2:$E$11,MATCH(C750,Léky!$A$2:$A$11,0))</f>
        <v>Štítná žláza</v>
      </c>
      <c r="F750" s="2" t="n">
        <v>1</v>
      </c>
      <c r="G750" s="5" t="n">
        <f aca="false">INDEX(Léky!$H$2:$H$11,MATCH(C750,Léky!$A$2:$A$11,0))</f>
        <v>118</v>
      </c>
      <c r="H750" s="5" t="n">
        <f aca="false">F750*G750</f>
        <v>118</v>
      </c>
    </row>
    <row r="751" customFormat="false" ht="15" hidden="false" customHeight="false" outlineLevel="0" collapsed="false">
      <c r="A751" s="11" t="n">
        <v>45962</v>
      </c>
      <c r="B751" s="2" t="s">
        <v>163</v>
      </c>
      <c r="C751" s="2" t="s">
        <v>63</v>
      </c>
      <c r="D751" s="2" t="str">
        <f aca="false">INDEX(Léky!$B$2:$B$11,MATCH(C751,Léky!$A$2:$A$11,0))</f>
        <v>Omeprazol 20 mg</v>
      </c>
      <c r="E751" s="2" t="str">
        <f aca="false">INDEX(Léky!$E$2:$E$11,MATCH(C751,Léky!$A$2:$A$11,0))</f>
        <v>Trávení</v>
      </c>
      <c r="F751" s="2" t="n">
        <v>1</v>
      </c>
      <c r="G751" s="5" t="n">
        <f aca="false">INDEX(Léky!$H$2:$H$11,MATCH(C751,Léky!$A$2:$A$11,0))</f>
        <v>135</v>
      </c>
      <c r="H751" s="5" t="n">
        <f aca="false">F751*G751</f>
        <v>135</v>
      </c>
    </row>
    <row r="752" customFormat="false" ht="15" hidden="false" customHeight="false" outlineLevel="0" collapsed="false">
      <c r="A752" s="11" t="n">
        <v>45962</v>
      </c>
      <c r="B752" s="2" t="s">
        <v>165</v>
      </c>
      <c r="C752" s="2" t="s">
        <v>84</v>
      </c>
      <c r="D752" s="2" t="str">
        <f aca="false">INDEX(Léky!$B$2:$B$11,MATCH(C752,Léky!$A$2:$A$11,0))</f>
        <v>Amoxicilin 500 mg</v>
      </c>
      <c r="E752" s="2" t="str">
        <f aca="false">INDEX(Léky!$E$2:$E$11,MATCH(C752,Léky!$A$2:$A$11,0))</f>
        <v>Antibiotika</v>
      </c>
      <c r="F752" s="2" t="n">
        <v>1</v>
      </c>
      <c r="G752" s="5" t="n">
        <f aca="false">INDEX(Léky!$H$2:$H$11,MATCH(C752,Léky!$A$2:$A$11,0))</f>
        <v>120</v>
      </c>
      <c r="H752" s="5" t="n">
        <f aca="false">F752*G752</f>
        <v>120</v>
      </c>
    </row>
    <row r="753" customFormat="false" ht="15" hidden="false" customHeight="false" outlineLevel="0" collapsed="false">
      <c r="A753" s="11" t="n">
        <v>45962</v>
      </c>
      <c r="B753" s="2" t="s">
        <v>166</v>
      </c>
      <c r="C753" s="2" t="s">
        <v>57</v>
      </c>
      <c r="D753" s="2" t="str">
        <f aca="false">INDEX(Léky!$B$2:$B$11,MATCH(C753,Léky!$A$2:$A$11,0))</f>
        <v>Levothyroxin 50 µg</v>
      </c>
      <c r="E753" s="2" t="str">
        <f aca="false">INDEX(Léky!$E$2:$E$11,MATCH(C753,Léky!$A$2:$A$11,0))</f>
        <v>Štítná žláza</v>
      </c>
      <c r="F753" s="2" t="n">
        <v>1</v>
      </c>
      <c r="G753" s="5" t="n">
        <f aca="false">INDEX(Léky!$H$2:$H$11,MATCH(C753,Léky!$A$2:$A$11,0))</f>
        <v>118</v>
      </c>
      <c r="H753" s="5" t="n">
        <f aca="false">F753*G753</f>
        <v>118</v>
      </c>
    </row>
    <row r="754" customFormat="false" ht="15" hidden="false" customHeight="false" outlineLevel="0" collapsed="false">
      <c r="A754" s="11" t="n">
        <v>45962</v>
      </c>
      <c r="B754" s="2" t="s">
        <v>167</v>
      </c>
      <c r="C754" s="2" t="s">
        <v>53</v>
      </c>
      <c r="D754" s="2" t="str">
        <f aca="false">INDEX(Léky!$B$2:$B$11,MATCH(C754,Léky!$A$2:$A$11,0))</f>
        <v>Ramipril 5 mg</v>
      </c>
      <c r="E754" s="2" t="str">
        <f aca="false">INDEX(Léky!$E$2:$E$11,MATCH(C754,Léky!$A$2:$A$11,0))</f>
        <v>Krevní tlak</v>
      </c>
      <c r="F754" s="2" t="n">
        <v>1</v>
      </c>
      <c r="G754" s="5" t="n">
        <f aca="false">INDEX(Léky!$H$2:$H$11,MATCH(C754,Léky!$A$2:$A$11,0))</f>
        <v>98</v>
      </c>
      <c r="H754" s="5" t="n">
        <f aca="false">F754*G754</f>
        <v>98</v>
      </c>
    </row>
    <row r="755" customFormat="false" ht="15" hidden="false" customHeight="false" outlineLevel="0" collapsed="false">
      <c r="A755" s="11" t="n">
        <v>45962</v>
      </c>
      <c r="B755" s="2" t="s">
        <v>169</v>
      </c>
      <c r="C755" s="2" t="s">
        <v>84</v>
      </c>
      <c r="D755" s="2" t="str">
        <f aca="false">INDEX(Léky!$B$2:$B$11,MATCH(C755,Léky!$A$2:$A$11,0))</f>
        <v>Amoxicilin 500 mg</v>
      </c>
      <c r="E755" s="2" t="str">
        <f aca="false">INDEX(Léky!$E$2:$E$11,MATCH(C755,Léky!$A$2:$A$11,0))</f>
        <v>Antibiotika</v>
      </c>
      <c r="F755" s="2" t="n">
        <v>1</v>
      </c>
      <c r="G755" s="5" t="n">
        <f aca="false">INDEX(Léky!$H$2:$H$11,MATCH(C755,Léky!$A$2:$A$11,0))</f>
        <v>120</v>
      </c>
      <c r="H755" s="5" t="n">
        <f aca="false">F755*G755</f>
        <v>120</v>
      </c>
    </row>
    <row r="756" customFormat="false" ht="15" hidden="false" customHeight="false" outlineLevel="0" collapsed="false">
      <c r="A756" s="11" t="n">
        <v>45962</v>
      </c>
      <c r="B756" s="2" t="s">
        <v>170</v>
      </c>
      <c r="C756" s="2" t="s">
        <v>63</v>
      </c>
      <c r="D756" s="2" t="str">
        <f aca="false">INDEX(Léky!$B$2:$B$11,MATCH(C756,Léky!$A$2:$A$11,0))</f>
        <v>Omeprazol 20 mg</v>
      </c>
      <c r="E756" s="2" t="str">
        <f aca="false">INDEX(Léky!$E$2:$E$11,MATCH(C756,Léky!$A$2:$A$11,0))</f>
        <v>Trávení</v>
      </c>
      <c r="F756" s="2" t="n">
        <v>1</v>
      </c>
      <c r="G756" s="5" t="n">
        <f aca="false">INDEX(Léky!$H$2:$H$11,MATCH(C756,Léky!$A$2:$A$11,0))</f>
        <v>135</v>
      </c>
      <c r="H756" s="5" t="n">
        <f aca="false">F756*G756</f>
        <v>135</v>
      </c>
    </row>
    <row r="757" customFormat="false" ht="15" hidden="false" customHeight="false" outlineLevel="0" collapsed="false">
      <c r="A757" s="11" t="n">
        <v>45962</v>
      </c>
      <c r="B757" s="2" t="s">
        <v>171</v>
      </c>
      <c r="C757" s="2" t="s">
        <v>34</v>
      </c>
      <c r="D757" s="2" t="str">
        <f aca="false">INDEX(Léky!$B$2:$B$11,MATCH(C757,Léky!$A$2:$A$11,0))</f>
        <v>Metformin 500 mg</v>
      </c>
      <c r="E757" s="2" t="str">
        <f aca="false">INDEX(Léky!$E$2:$E$11,MATCH(C757,Léky!$A$2:$A$11,0))</f>
        <v>Diabetes</v>
      </c>
      <c r="F757" s="2" t="n">
        <v>2</v>
      </c>
      <c r="G757" s="5" t="n">
        <f aca="false">INDEX(Léky!$H$2:$H$11,MATCH(C757,Léky!$A$2:$A$11,0))</f>
        <v>89</v>
      </c>
      <c r="H757" s="5" t="n">
        <f aca="false">F757*G757</f>
        <v>178</v>
      </c>
    </row>
    <row r="758" customFormat="false" ht="15" hidden="false" customHeight="false" outlineLevel="0" collapsed="false">
      <c r="A758" s="11" t="n">
        <v>45962</v>
      </c>
      <c r="B758" s="2" t="s">
        <v>171</v>
      </c>
      <c r="C758" s="2" t="s">
        <v>48</v>
      </c>
      <c r="D758" s="2" t="str">
        <f aca="false">INDEX(Léky!$B$2:$B$11,MATCH(C758,Léky!$A$2:$A$11,0))</f>
        <v>Amlodipin 5 mg</v>
      </c>
      <c r="E758" s="2" t="str">
        <f aca="false">INDEX(Léky!$E$2:$E$11,MATCH(C758,Léky!$A$2:$A$11,0))</f>
        <v>Krevní tlak</v>
      </c>
      <c r="F758" s="2" t="n">
        <v>1</v>
      </c>
      <c r="G758" s="5" t="n">
        <f aca="false">INDEX(Léky!$H$2:$H$11,MATCH(C758,Léky!$A$2:$A$11,0))</f>
        <v>72</v>
      </c>
      <c r="H758" s="5" t="n">
        <f aca="false">F758*G758</f>
        <v>72</v>
      </c>
    </row>
    <row r="759" customFormat="false" ht="15" hidden="false" customHeight="false" outlineLevel="0" collapsed="false">
      <c r="A759" s="11" t="n">
        <v>45962</v>
      </c>
      <c r="B759" s="2" t="s">
        <v>171</v>
      </c>
      <c r="C759" s="2" t="s">
        <v>57</v>
      </c>
      <c r="D759" s="2" t="str">
        <f aca="false">INDEX(Léky!$B$2:$B$11,MATCH(C759,Léky!$A$2:$A$11,0))</f>
        <v>Levothyroxin 50 µg</v>
      </c>
      <c r="E759" s="2" t="str">
        <f aca="false">INDEX(Léky!$E$2:$E$11,MATCH(C759,Léky!$A$2:$A$11,0))</f>
        <v>Štítná žláza</v>
      </c>
      <c r="F759" s="2" t="n">
        <v>1</v>
      </c>
      <c r="G759" s="5" t="n">
        <f aca="false">INDEX(Léky!$H$2:$H$11,MATCH(C759,Léky!$A$2:$A$11,0))</f>
        <v>118</v>
      </c>
      <c r="H759" s="5" t="n">
        <f aca="false">F759*G759</f>
        <v>118</v>
      </c>
    </row>
    <row r="760" customFormat="false" ht="15" hidden="false" customHeight="false" outlineLevel="0" collapsed="false">
      <c r="A760" s="11" t="n">
        <v>45962</v>
      </c>
      <c r="B760" s="2" t="s">
        <v>172</v>
      </c>
      <c r="C760" s="2" t="s">
        <v>84</v>
      </c>
      <c r="D760" s="2" t="str">
        <f aca="false">INDEX(Léky!$B$2:$B$11,MATCH(C760,Léky!$A$2:$A$11,0))</f>
        <v>Amoxicilin 500 mg</v>
      </c>
      <c r="E760" s="2" t="str">
        <f aca="false">INDEX(Léky!$E$2:$E$11,MATCH(C760,Léky!$A$2:$A$11,0))</f>
        <v>Antibiotika</v>
      </c>
      <c r="F760" s="2" t="n">
        <v>1</v>
      </c>
      <c r="G760" s="5" t="n">
        <f aca="false">INDEX(Léky!$H$2:$H$11,MATCH(C760,Léky!$A$2:$A$11,0))</f>
        <v>120</v>
      </c>
      <c r="H760" s="5" t="n">
        <f aca="false">F760*G760</f>
        <v>120</v>
      </c>
    </row>
    <row r="761" customFormat="false" ht="15" hidden="false" customHeight="false" outlineLevel="0" collapsed="false">
      <c r="A761" s="11" t="n">
        <v>45962</v>
      </c>
      <c r="B761" s="2" t="s">
        <v>173</v>
      </c>
      <c r="C761" s="2" t="s">
        <v>53</v>
      </c>
      <c r="D761" s="2" t="str">
        <f aca="false">INDEX(Léky!$B$2:$B$11,MATCH(C761,Léky!$A$2:$A$11,0))</f>
        <v>Ramipril 5 mg</v>
      </c>
      <c r="E761" s="2" t="str">
        <f aca="false">INDEX(Léky!$E$2:$E$11,MATCH(C761,Léky!$A$2:$A$11,0))</f>
        <v>Krevní tlak</v>
      </c>
      <c r="F761" s="2" t="n">
        <v>1</v>
      </c>
      <c r="G761" s="5" t="n">
        <f aca="false">INDEX(Léky!$H$2:$H$11,MATCH(C761,Léky!$A$2:$A$11,0))</f>
        <v>98</v>
      </c>
      <c r="H761" s="5" t="n">
        <f aca="false">F761*G761</f>
        <v>98</v>
      </c>
    </row>
    <row r="762" customFormat="false" ht="15" hidden="false" customHeight="false" outlineLevel="0" collapsed="false">
      <c r="A762" s="11" t="n">
        <v>45962</v>
      </c>
      <c r="B762" s="2" t="s">
        <v>174</v>
      </c>
      <c r="C762" s="2" t="s">
        <v>48</v>
      </c>
      <c r="D762" s="2" t="str">
        <f aca="false">INDEX(Léky!$B$2:$B$11,MATCH(C762,Léky!$A$2:$A$11,0))</f>
        <v>Amlodipin 5 mg</v>
      </c>
      <c r="E762" s="2" t="str">
        <f aca="false">INDEX(Léky!$E$2:$E$11,MATCH(C762,Léky!$A$2:$A$11,0))</f>
        <v>Krevní tlak</v>
      </c>
      <c r="F762" s="2" t="n">
        <v>1</v>
      </c>
      <c r="G762" s="5" t="n">
        <f aca="false">INDEX(Léky!$H$2:$H$11,MATCH(C762,Léky!$A$2:$A$11,0))</f>
        <v>72</v>
      </c>
      <c r="H762" s="5" t="n">
        <f aca="false">F762*G762</f>
        <v>72</v>
      </c>
    </row>
    <row r="763" customFormat="false" ht="15" hidden="false" customHeight="false" outlineLevel="0" collapsed="false">
      <c r="A763" s="11" t="n">
        <v>45962</v>
      </c>
      <c r="B763" s="2" t="s">
        <v>174</v>
      </c>
      <c r="C763" s="2" t="s">
        <v>53</v>
      </c>
      <c r="D763" s="2" t="str">
        <f aca="false">INDEX(Léky!$B$2:$B$11,MATCH(C763,Léky!$A$2:$A$11,0))</f>
        <v>Ramipril 5 mg</v>
      </c>
      <c r="E763" s="2" t="str">
        <f aca="false">INDEX(Léky!$E$2:$E$11,MATCH(C763,Léky!$A$2:$A$11,0))</f>
        <v>Krevní tlak</v>
      </c>
      <c r="F763" s="2" t="n">
        <v>1</v>
      </c>
      <c r="G763" s="5" t="n">
        <f aca="false">INDEX(Léky!$H$2:$H$11,MATCH(C763,Léky!$A$2:$A$11,0))</f>
        <v>98</v>
      </c>
      <c r="H763" s="5" t="n">
        <f aca="false">F763*G763</f>
        <v>98</v>
      </c>
    </row>
    <row r="764" customFormat="false" ht="15" hidden="false" customHeight="false" outlineLevel="0" collapsed="false">
      <c r="A764" s="11" t="n">
        <v>45962</v>
      </c>
      <c r="B764" s="2" t="s">
        <v>174</v>
      </c>
      <c r="C764" s="2" t="s">
        <v>91</v>
      </c>
      <c r="D764" s="2" t="str">
        <f aca="false">INDEX(Léky!$B$2:$B$11,MATCH(C764,Léky!$A$2:$A$11,0))</f>
        <v>Ibuprofen 400 mg</v>
      </c>
      <c r="E764" s="2" t="str">
        <f aca="false">INDEX(Léky!$E$2:$E$11,MATCH(C764,Léky!$A$2:$A$11,0))</f>
        <v>Bolest</v>
      </c>
      <c r="F764" s="2" t="n">
        <v>1</v>
      </c>
      <c r="G764" s="5" t="n">
        <f aca="false">INDEX(Léky!$H$2:$H$11,MATCH(C764,Léky!$A$2:$A$11,0))</f>
        <v>65</v>
      </c>
      <c r="H764" s="5" t="n">
        <f aca="false">F764*G764</f>
        <v>65</v>
      </c>
    </row>
    <row r="765" customFormat="false" ht="15" hidden="false" customHeight="false" outlineLevel="0" collapsed="false">
      <c r="A765" s="11" t="n">
        <v>45962</v>
      </c>
      <c r="B765" s="2" t="s">
        <v>175</v>
      </c>
      <c r="C765" s="2" t="s">
        <v>63</v>
      </c>
      <c r="D765" s="2" t="str">
        <f aca="false">INDEX(Léky!$B$2:$B$11,MATCH(C765,Léky!$A$2:$A$11,0))</f>
        <v>Omeprazol 20 mg</v>
      </c>
      <c r="E765" s="2" t="str">
        <f aca="false">INDEX(Léky!$E$2:$E$11,MATCH(C765,Léky!$A$2:$A$11,0))</f>
        <v>Trávení</v>
      </c>
      <c r="F765" s="2" t="n">
        <v>1</v>
      </c>
      <c r="G765" s="5" t="n">
        <f aca="false">INDEX(Léky!$H$2:$H$11,MATCH(C765,Léky!$A$2:$A$11,0))</f>
        <v>135</v>
      </c>
      <c r="H765" s="5" t="n">
        <f aca="false">F765*G765</f>
        <v>135</v>
      </c>
    </row>
    <row r="766" customFormat="false" ht="15" hidden="false" customHeight="false" outlineLevel="0" collapsed="false">
      <c r="A766" s="11" t="n">
        <v>45992</v>
      </c>
      <c r="B766" s="2" t="s">
        <v>103</v>
      </c>
      <c r="C766" s="2" t="s">
        <v>34</v>
      </c>
      <c r="D766" s="2" t="str">
        <f aca="false">INDEX(Léky!$B$2:$B$11,MATCH(C766,Léky!$A$2:$A$11,0))</f>
        <v>Metformin 500 mg</v>
      </c>
      <c r="E766" s="2" t="str">
        <f aca="false">INDEX(Léky!$E$2:$E$11,MATCH(C766,Léky!$A$2:$A$11,0))</f>
        <v>Diabetes</v>
      </c>
      <c r="F766" s="2" t="n">
        <v>2</v>
      </c>
      <c r="G766" s="5" t="n">
        <f aca="false">INDEX(Léky!$H$2:$H$11,MATCH(C766,Léky!$A$2:$A$11,0))</f>
        <v>89</v>
      </c>
      <c r="H766" s="5" t="n">
        <f aca="false">F766*G766</f>
        <v>178</v>
      </c>
    </row>
    <row r="767" customFormat="false" ht="15" hidden="false" customHeight="false" outlineLevel="0" collapsed="false">
      <c r="A767" s="11" t="n">
        <v>45992</v>
      </c>
      <c r="B767" s="2" t="s">
        <v>103</v>
      </c>
      <c r="C767" s="2" t="s">
        <v>84</v>
      </c>
      <c r="D767" s="2" t="str">
        <f aca="false">INDEX(Léky!$B$2:$B$11,MATCH(C767,Léky!$A$2:$A$11,0))</f>
        <v>Amoxicilin 500 mg</v>
      </c>
      <c r="E767" s="2" t="str">
        <f aca="false">INDEX(Léky!$E$2:$E$11,MATCH(C767,Léky!$A$2:$A$11,0))</f>
        <v>Antibiotika</v>
      </c>
      <c r="F767" s="2" t="n">
        <v>1</v>
      </c>
      <c r="G767" s="5" t="n">
        <f aca="false">INDEX(Léky!$H$2:$H$11,MATCH(C767,Léky!$A$2:$A$11,0))</f>
        <v>120</v>
      </c>
      <c r="H767" s="5" t="n">
        <f aca="false">F767*G767</f>
        <v>120</v>
      </c>
    </row>
    <row r="768" customFormat="false" ht="15" hidden="false" customHeight="false" outlineLevel="0" collapsed="false">
      <c r="A768" s="11" t="n">
        <v>45992</v>
      </c>
      <c r="B768" s="2" t="s">
        <v>110</v>
      </c>
      <c r="C768" s="2" t="s">
        <v>63</v>
      </c>
      <c r="D768" s="2" t="str">
        <f aca="false">INDEX(Léky!$B$2:$B$11,MATCH(C768,Léky!$A$2:$A$11,0))</f>
        <v>Omeprazol 20 mg</v>
      </c>
      <c r="E768" s="2" t="str">
        <f aca="false">INDEX(Léky!$E$2:$E$11,MATCH(C768,Léky!$A$2:$A$11,0))</f>
        <v>Trávení</v>
      </c>
      <c r="F768" s="2" t="n">
        <v>1</v>
      </c>
      <c r="G768" s="5" t="n">
        <f aca="false">INDEX(Léky!$H$2:$H$11,MATCH(C768,Léky!$A$2:$A$11,0))</f>
        <v>135</v>
      </c>
      <c r="H768" s="5" t="n">
        <f aca="false">F768*G768</f>
        <v>135</v>
      </c>
    </row>
    <row r="769" customFormat="false" ht="15" hidden="false" customHeight="false" outlineLevel="0" collapsed="false">
      <c r="A769" s="11" t="n">
        <v>45992</v>
      </c>
      <c r="B769" s="2" t="s">
        <v>114</v>
      </c>
      <c r="C769" s="2" t="s">
        <v>53</v>
      </c>
      <c r="D769" s="2" t="str">
        <f aca="false">INDEX(Léky!$B$2:$B$11,MATCH(C769,Léky!$A$2:$A$11,0))</f>
        <v>Ramipril 5 mg</v>
      </c>
      <c r="E769" s="2" t="str">
        <f aca="false">INDEX(Léky!$E$2:$E$11,MATCH(C769,Léky!$A$2:$A$11,0))</f>
        <v>Krevní tlak</v>
      </c>
      <c r="F769" s="2" t="n">
        <v>1</v>
      </c>
      <c r="G769" s="5" t="n">
        <f aca="false">INDEX(Léky!$H$2:$H$11,MATCH(C769,Léky!$A$2:$A$11,0))</f>
        <v>98</v>
      </c>
      <c r="H769" s="5" t="n">
        <f aca="false">F769*G769</f>
        <v>98</v>
      </c>
    </row>
    <row r="770" customFormat="false" ht="15" hidden="false" customHeight="false" outlineLevel="0" collapsed="false">
      <c r="A770" s="11" t="n">
        <v>45992</v>
      </c>
      <c r="B770" s="2" t="s">
        <v>118</v>
      </c>
      <c r="C770" s="2" t="s">
        <v>48</v>
      </c>
      <c r="D770" s="2" t="str">
        <f aca="false">INDEX(Léky!$B$2:$B$11,MATCH(C770,Léky!$A$2:$A$11,0))</f>
        <v>Amlodipin 5 mg</v>
      </c>
      <c r="E770" s="2" t="str">
        <f aca="false">INDEX(Léky!$E$2:$E$11,MATCH(C770,Léky!$A$2:$A$11,0))</f>
        <v>Krevní tlak</v>
      </c>
      <c r="F770" s="2" t="n">
        <v>1</v>
      </c>
      <c r="G770" s="5" t="n">
        <f aca="false">INDEX(Léky!$H$2:$H$11,MATCH(C770,Léky!$A$2:$A$11,0))</f>
        <v>72</v>
      </c>
      <c r="H770" s="5" t="n">
        <f aca="false">F770*G770</f>
        <v>72</v>
      </c>
    </row>
    <row r="771" customFormat="false" ht="15" hidden="false" customHeight="false" outlineLevel="0" collapsed="false">
      <c r="A771" s="11" t="n">
        <v>45992</v>
      </c>
      <c r="B771" s="2" t="s">
        <v>119</v>
      </c>
      <c r="C771" s="2" t="s">
        <v>70</v>
      </c>
      <c r="D771" s="2" t="str">
        <f aca="false">INDEX(Léky!$B$2:$B$11,MATCH(C771,Léky!$A$2:$A$11,0))</f>
        <v>Sertralin 50 mg</v>
      </c>
      <c r="E771" s="2" t="str">
        <f aca="false">INDEX(Léky!$E$2:$E$11,MATCH(C771,Léky!$A$2:$A$11,0))</f>
        <v>Psychiatrie</v>
      </c>
      <c r="F771" s="2" t="n">
        <v>1</v>
      </c>
      <c r="G771" s="5" t="n">
        <f aca="false">INDEX(Léky!$H$2:$H$11,MATCH(C771,Léky!$A$2:$A$11,0))</f>
        <v>210</v>
      </c>
      <c r="H771" s="5" t="n">
        <f aca="false">F771*G771</f>
        <v>210</v>
      </c>
    </row>
    <row r="772" customFormat="false" ht="15" hidden="false" customHeight="false" outlineLevel="0" collapsed="false">
      <c r="A772" s="11" t="n">
        <v>45992</v>
      </c>
      <c r="B772" s="2" t="s">
        <v>124</v>
      </c>
      <c r="C772" s="2" t="s">
        <v>48</v>
      </c>
      <c r="D772" s="2" t="str">
        <f aca="false">INDEX(Léky!$B$2:$B$11,MATCH(C772,Léky!$A$2:$A$11,0))</f>
        <v>Amlodipin 5 mg</v>
      </c>
      <c r="E772" s="2" t="str">
        <f aca="false">INDEX(Léky!$E$2:$E$11,MATCH(C772,Léky!$A$2:$A$11,0))</f>
        <v>Krevní tlak</v>
      </c>
      <c r="F772" s="2" t="n">
        <v>1</v>
      </c>
      <c r="G772" s="5" t="n">
        <f aca="false">INDEX(Léky!$H$2:$H$11,MATCH(C772,Léky!$A$2:$A$11,0))</f>
        <v>72</v>
      </c>
      <c r="H772" s="5" t="n">
        <f aca="false">F772*G772</f>
        <v>72</v>
      </c>
    </row>
    <row r="773" customFormat="false" ht="15" hidden="false" customHeight="false" outlineLevel="0" collapsed="false">
      <c r="A773" s="11" t="n">
        <v>45992</v>
      </c>
      <c r="B773" s="2" t="s">
        <v>124</v>
      </c>
      <c r="C773" s="2" t="s">
        <v>91</v>
      </c>
      <c r="D773" s="2" t="str">
        <f aca="false">INDEX(Léky!$B$2:$B$11,MATCH(C773,Léky!$A$2:$A$11,0))</f>
        <v>Ibuprofen 400 mg</v>
      </c>
      <c r="E773" s="2" t="str">
        <f aca="false">INDEX(Léky!$E$2:$E$11,MATCH(C773,Léky!$A$2:$A$11,0))</f>
        <v>Bolest</v>
      </c>
      <c r="F773" s="2" t="n">
        <v>1</v>
      </c>
      <c r="G773" s="5" t="n">
        <f aca="false">INDEX(Léky!$H$2:$H$11,MATCH(C773,Léky!$A$2:$A$11,0))</f>
        <v>65</v>
      </c>
      <c r="H773" s="5" t="n">
        <f aca="false">F773*G773</f>
        <v>65</v>
      </c>
    </row>
    <row r="774" customFormat="false" ht="15" hidden="false" customHeight="false" outlineLevel="0" collapsed="false">
      <c r="A774" s="11" t="n">
        <v>45992</v>
      </c>
      <c r="B774" s="2" t="s">
        <v>127</v>
      </c>
      <c r="C774" s="2" t="s">
        <v>70</v>
      </c>
      <c r="D774" s="2" t="str">
        <f aca="false">INDEX(Léky!$B$2:$B$11,MATCH(C774,Léky!$A$2:$A$11,0))</f>
        <v>Sertralin 50 mg</v>
      </c>
      <c r="E774" s="2" t="str">
        <f aca="false">INDEX(Léky!$E$2:$E$11,MATCH(C774,Léky!$A$2:$A$11,0))</f>
        <v>Psychiatrie</v>
      </c>
      <c r="F774" s="2" t="n">
        <v>1</v>
      </c>
      <c r="G774" s="5" t="n">
        <f aca="false">INDEX(Léky!$H$2:$H$11,MATCH(C774,Léky!$A$2:$A$11,0))</f>
        <v>210</v>
      </c>
      <c r="H774" s="5" t="n">
        <f aca="false">F774*G774</f>
        <v>210</v>
      </c>
    </row>
    <row r="775" customFormat="false" ht="15" hidden="false" customHeight="false" outlineLevel="0" collapsed="false">
      <c r="A775" s="11" t="n">
        <v>45992</v>
      </c>
      <c r="B775" s="2" t="s">
        <v>128</v>
      </c>
      <c r="C775" s="2" t="s">
        <v>84</v>
      </c>
      <c r="D775" s="2" t="str">
        <f aca="false">INDEX(Léky!$B$2:$B$11,MATCH(C775,Léky!$A$2:$A$11,0))</f>
        <v>Amoxicilin 500 mg</v>
      </c>
      <c r="E775" s="2" t="str">
        <f aca="false">INDEX(Léky!$E$2:$E$11,MATCH(C775,Léky!$A$2:$A$11,0))</f>
        <v>Antibiotika</v>
      </c>
      <c r="F775" s="2" t="n">
        <v>1</v>
      </c>
      <c r="G775" s="5" t="n">
        <f aca="false">INDEX(Léky!$H$2:$H$11,MATCH(C775,Léky!$A$2:$A$11,0))</f>
        <v>120</v>
      </c>
      <c r="H775" s="5" t="n">
        <f aca="false">F775*G775</f>
        <v>120</v>
      </c>
    </row>
    <row r="776" customFormat="false" ht="15" hidden="false" customHeight="false" outlineLevel="0" collapsed="false">
      <c r="A776" s="11" t="n">
        <v>45992</v>
      </c>
      <c r="B776" s="2" t="s">
        <v>129</v>
      </c>
      <c r="C776" s="2" t="s">
        <v>34</v>
      </c>
      <c r="D776" s="2" t="str">
        <f aca="false">INDEX(Léky!$B$2:$B$11,MATCH(C776,Léky!$A$2:$A$11,0))</f>
        <v>Metformin 500 mg</v>
      </c>
      <c r="E776" s="2" t="str">
        <f aca="false">INDEX(Léky!$E$2:$E$11,MATCH(C776,Léky!$A$2:$A$11,0))</f>
        <v>Diabetes</v>
      </c>
      <c r="F776" s="2" t="n">
        <v>1</v>
      </c>
      <c r="G776" s="5" t="n">
        <f aca="false">INDEX(Léky!$H$2:$H$11,MATCH(C776,Léky!$A$2:$A$11,0))</f>
        <v>89</v>
      </c>
      <c r="H776" s="5" t="n">
        <f aca="false">F776*G776</f>
        <v>89</v>
      </c>
    </row>
    <row r="777" customFormat="false" ht="15" hidden="false" customHeight="false" outlineLevel="0" collapsed="false">
      <c r="A777" s="11" t="n">
        <v>45992</v>
      </c>
      <c r="B777" s="2" t="s">
        <v>129</v>
      </c>
      <c r="C777" s="2" t="s">
        <v>70</v>
      </c>
      <c r="D777" s="2" t="str">
        <f aca="false">INDEX(Léky!$B$2:$B$11,MATCH(C777,Léky!$A$2:$A$11,0))</f>
        <v>Sertralin 50 mg</v>
      </c>
      <c r="E777" s="2" t="str">
        <f aca="false">INDEX(Léky!$E$2:$E$11,MATCH(C777,Léky!$A$2:$A$11,0))</f>
        <v>Psychiatrie</v>
      </c>
      <c r="F777" s="2" t="n">
        <v>1</v>
      </c>
      <c r="G777" s="5" t="n">
        <f aca="false">INDEX(Léky!$H$2:$H$11,MATCH(C777,Léky!$A$2:$A$11,0))</f>
        <v>210</v>
      </c>
      <c r="H777" s="5" t="n">
        <f aca="false">F777*G777</f>
        <v>210</v>
      </c>
    </row>
    <row r="778" customFormat="false" ht="15" hidden="false" customHeight="false" outlineLevel="0" collapsed="false">
      <c r="A778" s="11" t="n">
        <v>45992</v>
      </c>
      <c r="B778" s="2" t="s">
        <v>129</v>
      </c>
      <c r="C778" s="2" t="s">
        <v>84</v>
      </c>
      <c r="D778" s="2" t="str">
        <f aca="false">INDEX(Léky!$B$2:$B$11,MATCH(C778,Léky!$A$2:$A$11,0))</f>
        <v>Amoxicilin 500 mg</v>
      </c>
      <c r="E778" s="2" t="str">
        <f aca="false">INDEX(Léky!$E$2:$E$11,MATCH(C778,Léky!$A$2:$A$11,0))</f>
        <v>Antibiotika</v>
      </c>
      <c r="F778" s="2" t="n">
        <v>1</v>
      </c>
      <c r="G778" s="5" t="n">
        <f aca="false">INDEX(Léky!$H$2:$H$11,MATCH(C778,Léky!$A$2:$A$11,0))</f>
        <v>120</v>
      </c>
      <c r="H778" s="5" t="n">
        <f aca="false">F778*G778</f>
        <v>120</v>
      </c>
    </row>
    <row r="779" customFormat="false" ht="15" hidden="false" customHeight="false" outlineLevel="0" collapsed="false">
      <c r="A779" s="11" t="n">
        <v>45992</v>
      </c>
      <c r="B779" s="2" t="s">
        <v>130</v>
      </c>
      <c r="C779" s="2" t="s">
        <v>57</v>
      </c>
      <c r="D779" s="2" t="str">
        <f aca="false">INDEX(Léky!$B$2:$B$11,MATCH(C779,Léky!$A$2:$A$11,0))</f>
        <v>Levothyroxin 50 µg</v>
      </c>
      <c r="E779" s="2" t="str">
        <f aca="false">INDEX(Léky!$E$2:$E$11,MATCH(C779,Léky!$A$2:$A$11,0))</f>
        <v>Štítná žláza</v>
      </c>
      <c r="F779" s="2" t="n">
        <v>1</v>
      </c>
      <c r="G779" s="5" t="n">
        <f aca="false">INDEX(Léky!$H$2:$H$11,MATCH(C779,Léky!$A$2:$A$11,0))</f>
        <v>118</v>
      </c>
      <c r="H779" s="5" t="n">
        <f aca="false">F779*G779</f>
        <v>118</v>
      </c>
    </row>
    <row r="780" customFormat="false" ht="15" hidden="false" customHeight="false" outlineLevel="0" collapsed="false">
      <c r="A780" s="11" t="n">
        <v>45992</v>
      </c>
      <c r="B780" s="2" t="s">
        <v>130</v>
      </c>
      <c r="C780" s="2" t="s">
        <v>76</v>
      </c>
      <c r="D780" s="2" t="str">
        <f aca="false">INDEX(Léky!$B$2:$B$11,MATCH(C780,Léky!$A$2:$A$11,0))</f>
        <v>Salbutamol inhalátor</v>
      </c>
      <c r="E780" s="2" t="str">
        <f aca="false">INDEX(Léky!$E$2:$E$11,MATCH(C780,Léky!$A$2:$A$11,0))</f>
        <v>Dýchací cesty</v>
      </c>
      <c r="F780" s="2" t="n">
        <v>1</v>
      </c>
      <c r="G780" s="5" t="n">
        <f aca="false">INDEX(Léky!$H$2:$H$11,MATCH(C780,Léky!$A$2:$A$11,0))</f>
        <v>165</v>
      </c>
      <c r="H780" s="5" t="n">
        <f aca="false">F780*G780</f>
        <v>165</v>
      </c>
    </row>
    <row r="781" customFormat="false" ht="15" hidden="false" customHeight="false" outlineLevel="0" collapsed="false">
      <c r="A781" s="11" t="n">
        <v>45992</v>
      </c>
      <c r="B781" s="2" t="s">
        <v>131</v>
      </c>
      <c r="C781" s="2" t="s">
        <v>34</v>
      </c>
      <c r="D781" s="2" t="str">
        <f aca="false">INDEX(Léky!$B$2:$B$11,MATCH(C781,Léky!$A$2:$A$11,0))</f>
        <v>Metformin 500 mg</v>
      </c>
      <c r="E781" s="2" t="str">
        <f aca="false">INDEX(Léky!$E$2:$E$11,MATCH(C781,Léky!$A$2:$A$11,0))</f>
        <v>Diabetes</v>
      </c>
      <c r="F781" s="2" t="n">
        <v>2</v>
      </c>
      <c r="G781" s="5" t="n">
        <f aca="false">INDEX(Léky!$H$2:$H$11,MATCH(C781,Léky!$A$2:$A$11,0))</f>
        <v>89</v>
      </c>
      <c r="H781" s="5" t="n">
        <f aca="false">F781*G781</f>
        <v>178</v>
      </c>
    </row>
    <row r="782" customFormat="false" ht="15" hidden="false" customHeight="false" outlineLevel="0" collapsed="false">
      <c r="A782" s="11" t="n">
        <v>45992</v>
      </c>
      <c r="B782" s="2" t="s">
        <v>131</v>
      </c>
      <c r="C782" s="2" t="s">
        <v>53</v>
      </c>
      <c r="D782" s="2" t="str">
        <f aca="false">INDEX(Léky!$B$2:$B$11,MATCH(C782,Léky!$A$2:$A$11,0))</f>
        <v>Ramipril 5 mg</v>
      </c>
      <c r="E782" s="2" t="str">
        <f aca="false">INDEX(Léky!$E$2:$E$11,MATCH(C782,Léky!$A$2:$A$11,0))</f>
        <v>Krevní tlak</v>
      </c>
      <c r="F782" s="2" t="n">
        <v>1</v>
      </c>
      <c r="G782" s="5" t="n">
        <f aca="false">INDEX(Léky!$H$2:$H$11,MATCH(C782,Léky!$A$2:$A$11,0))</f>
        <v>98</v>
      </c>
      <c r="H782" s="5" t="n">
        <f aca="false">F782*G782</f>
        <v>98</v>
      </c>
    </row>
    <row r="783" customFormat="false" ht="15" hidden="false" customHeight="false" outlineLevel="0" collapsed="false">
      <c r="A783" s="11" t="n">
        <v>45992</v>
      </c>
      <c r="B783" s="2" t="s">
        <v>131</v>
      </c>
      <c r="C783" s="2" t="s">
        <v>63</v>
      </c>
      <c r="D783" s="2" t="str">
        <f aca="false">INDEX(Léky!$B$2:$B$11,MATCH(C783,Léky!$A$2:$A$11,0))</f>
        <v>Omeprazol 20 mg</v>
      </c>
      <c r="E783" s="2" t="str">
        <f aca="false">INDEX(Léky!$E$2:$E$11,MATCH(C783,Léky!$A$2:$A$11,0))</f>
        <v>Trávení</v>
      </c>
      <c r="F783" s="2" t="n">
        <v>1</v>
      </c>
      <c r="G783" s="5" t="n">
        <f aca="false">INDEX(Léky!$H$2:$H$11,MATCH(C783,Léky!$A$2:$A$11,0))</f>
        <v>135</v>
      </c>
      <c r="H783" s="5" t="n">
        <f aca="false">F783*G783</f>
        <v>135</v>
      </c>
    </row>
    <row r="784" customFormat="false" ht="15" hidden="false" customHeight="false" outlineLevel="0" collapsed="false">
      <c r="A784" s="11" t="n">
        <v>45992</v>
      </c>
      <c r="B784" s="2" t="s">
        <v>133</v>
      </c>
      <c r="C784" s="2" t="s">
        <v>48</v>
      </c>
      <c r="D784" s="2" t="str">
        <f aca="false">INDEX(Léky!$B$2:$B$11,MATCH(C784,Léky!$A$2:$A$11,0))</f>
        <v>Amlodipin 5 mg</v>
      </c>
      <c r="E784" s="2" t="str">
        <f aca="false">INDEX(Léky!$E$2:$E$11,MATCH(C784,Léky!$A$2:$A$11,0))</f>
        <v>Krevní tlak</v>
      </c>
      <c r="F784" s="2" t="n">
        <v>1</v>
      </c>
      <c r="G784" s="5" t="n">
        <f aca="false">INDEX(Léky!$H$2:$H$11,MATCH(C784,Léky!$A$2:$A$11,0))</f>
        <v>72</v>
      </c>
      <c r="H784" s="5" t="n">
        <f aca="false">F784*G784</f>
        <v>72</v>
      </c>
    </row>
    <row r="785" customFormat="false" ht="15" hidden="false" customHeight="false" outlineLevel="0" collapsed="false">
      <c r="A785" s="11" t="n">
        <v>45992</v>
      </c>
      <c r="B785" s="2" t="s">
        <v>133</v>
      </c>
      <c r="C785" s="2" t="s">
        <v>70</v>
      </c>
      <c r="D785" s="2" t="str">
        <f aca="false">INDEX(Léky!$B$2:$B$11,MATCH(C785,Léky!$A$2:$A$11,0))</f>
        <v>Sertralin 50 mg</v>
      </c>
      <c r="E785" s="2" t="str">
        <f aca="false">INDEX(Léky!$E$2:$E$11,MATCH(C785,Léky!$A$2:$A$11,0))</f>
        <v>Psychiatrie</v>
      </c>
      <c r="F785" s="2" t="n">
        <v>1</v>
      </c>
      <c r="G785" s="5" t="n">
        <f aca="false">INDEX(Léky!$H$2:$H$11,MATCH(C785,Léky!$A$2:$A$11,0))</f>
        <v>210</v>
      </c>
      <c r="H785" s="5" t="n">
        <f aca="false">F785*G785</f>
        <v>210</v>
      </c>
    </row>
    <row r="786" customFormat="false" ht="15" hidden="false" customHeight="false" outlineLevel="0" collapsed="false">
      <c r="A786" s="11" t="n">
        <v>45992</v>
      </c>
      <c r="B786" s="2" t="s">
        <v>134</v>
      </c>
      <c r="C786" s="2" t="s">
        <v>53</v>
      </c>
      <c r="D786" s="2" t="str">
        <f aca="false">INDEX(Léky!$B$2:$B$11,MATCH(C786,Léky!$A$2:$A$11,0))</f>
        <v>Ramipril 5 mg</v>
      </c>
      <c r="E786" s="2" t="str">
        <f aca="false">INDEX(Léky!$E$2:$E$11,MATCH(C786,Léky!$A$2:$A$11,0))</f>
        <v>Krevní tlak</v>
      </c>
      <c r="F786" s="2" t="n">
        <v>1</v>
      </c>
      <c r="G786" s="5" t="n">
        <f aca="false">INDEX(Léky!$H$2:$H$11,MATCH(C786,Léky!$A$2:$A$11,0))</f>
        <v>98</v>
      </c>
      <c r="H786" s="5" t="n">
        <f aca="false">F786*G786</f>
        <v>98</v>
      </c>
    </row>
    <row r="787" customFormat="false" ht="15" hidden="false" customHeight="false" outlineLevel="0" collapsed="false">
      <c r="A787" s="11" t="n">
        <v>45992</v>
      </c>
      <c r="B787" s="2" t="s">
        <v>134</v>
      </c>
      <c r="C787" s="2" t="s">
        <v>91</v>
      </c>
      <c r="D787" s="2" t="str">
        <f aca="false">INDEX(Léky!$B$2:$B$11,MATCH(C787,Léky!$A$2:$A$11,0))</f>
        <v>Ibuprofen 400 mg</v>
      </c>
      <c r="E787" s="2" t="str">
        <f aca="false">INDEX(Léky!$E$2:$E$11,MATCH(C787,Léky!$A$2:$A$11,0))</f>
        <v>Bolest</v>
      </c>
      <c r="F787" s="2" t="n">
        <v>1</v>
      </c>
      <c r="G787" s="5" t="n">
        <f aca="false">INDEX(Léky!$H$2:$H$11,MATCH(C787,Léky!$A$2:$A$11,0))</f>
        <v>65</v>
      </c>
      <c r="H787" s="5" t="n">
        <f aca="false">F787*G787</f>
        <v>65</v>
      </c>
    </row>
    <row r="788" customFormat="false" ht="15" hidden="false" customHeight="false" outlineLevel="0" collapsed="false">
      <c r="A788" s="11" t="n">
        <v>45992</v>
      </c>
      <c r="B788" s="2" t="s">
        <v>135</v>
      </c>
      <c r="C788" s="2" t="s">
        <v>63</v>
      </c>
      <c r="D788" s="2" t="str">
        <f aca="false">INDEX(Léky!$B$2:$B$11,MATCH(C788,Léky!$A$2:$A$11,0))</f>
        <v>Omeprazol 20 mg</v>
      </c>
      <c r="E788" s="2" t="str">
        <f aca="false">INDEX(Léky!$E$2:$E$11,MATCH(C788,Léky!$A$2:$A$11,0))</f>
        <v>Trávení</v>
      </c>
      <c r="F788" s="2" t="n">
        <v>1</v>
      </c>
      <c r="G788" s="5" t="n">
        <f aca="false">INDEX(Léky!$H$2:$H$11,MATCH(C788,Léky!$A$2:$A$11,0))</f>
        <v>135</v>
      </c>
      <c r="H788" s="5" t="n">
        <f aca="false">F788*G788</f>
        <v>135</v>
      </c>
    </row>
    <row r="789" customFormat="false" ht="15" hidden="false" customHeight="false" outlineLevel="0" collapsed="false">
      <c r="A789" s="11" t="n">
        <v>45992</v>
      </c>
      <c r="B789" s="2" t="s">
        <v>136</v>
      </c>
      <c r="C789" s="2" t="s">
        <v>34</v>
      </c>
      <c r="D789" s="2" t="str">
        <f aca="false">INDEX(Léky!$B$2:$B$11,MATCH(C789,Léky!$A$2:$A$11,0))</f>
        <v>Metformin 500 mg</v>
      </c>
      <c r="E789" s="2" t="str">
        <f aca="false">INDEX(Léky!$E$2:$E$11,MATCH(C789,Léky!$A$2:$A$11,0))</f>
        <v>Diabetes</v>
      </c>
      <c r="F789" s="2" t="n">
        <v>1</v>
      </c>
      <c r="G789" s="5" t="n">
        <f aca="false">INDEX(Léky!$H$2:$H$11,MATCH(C789,Léky!$A$2:$A$11,0))</f>
        <v>89</v>
      </c>
      <c r="H789" s="5" t="n">
        <f aca="false">F789*G789</f>
        <v>89</v>
      </c>
    </row>
    <row r="790" customFormat="false" ht="15" hidden="false" customHeight="false" outlineLevel="0" collapsed="false">
      <c r="A790" s="11" t="n">
        <v>45992</v>
      </c>
      <c r="B790" s="2" t="s">
        <v>137</v>
      </c>
      <c r="C790" s="2" t="s">
        <v>70</v>
      </c>
      <c r="D790" s="2" t="str">
        <f aca="false">INDEX(Léky!$B$2:$B$11,MATCH(C790,Léky!$A$2:$A$11,0))</f>
        <v>Sertralin 50 mg</v>
      </c>
      <c r="E790" s="2" t="str">
        <f aca="false">INDEX(Léky!$E$2:$E$11,MATCH(C790,Léky!$A$2:$A$11,0))</f>
        <v>Psychiatrie</v>
      </c>
      <c r="F790" s="2" t="n">
        <v>1</v>
      </c>
      <c r="G790" s="5" t="n">
        <f aca="false">INDEX(Léky!$H$2:$H$11,MATCH(C790,Léky!$A$2:$A$11,0))</f>
        <v>210</v>
      </c>
      <c r="H790" s="5" t="n">
        <f aca="false">F790*G790</f>
        <v>210</v>
      </c>
    </row>
    <row r="791" customFormat="false" ht="15" hidden="false" customHeight="false" outlineLevel="0" collapsed="false">
      <c r="A791" s="11" t="n">
        <v>45992</v>
      </c>
      <c r="B791" s="2" t="s">
        <v>138</v>
      </c>
      <c r="C791" s="2" t="s">
        <v>48</v>
      </c>
      <c r="D791" s="2" t="str">
        <f aca="false">INDEX(Léky!$B$2:$B$11,MATCH(C791,Léky!$A$2:$A$11,0))</f>
        <v>Amlodipin 5 mg</v>
      </c>
      <c r="E791" s="2" t="str">
        <f aca="false">INDEX(Léky!$E$2:$E$11,MATCH(C791,Léky!$A$2:$A$11,0))</f>
        <v>Krevní tlak</v>
      </c>
      <c r="F791" s="2" t="n">
        <v>1</v>
      </c>
      <c r="G791" s="5" t="n">
        <f aca="false">INDEX(Léky!$H$2:$H$11,MATCH(C791,Léky!$A$2:$A$11,0))</f>
        <v>72</v>
      </c>
      <c r="H791" s="5" t="n">
        <f aca="false">F791*G791</f>
        <v>72</v>
      </c>
    </row>
    <row r="792" customFormat="false" ht="15" hidden="false" customHeight="false" outlineLevel="0" collapsed="false">
      <c r="A792" s="11" t="n">
        <v>45992</v>
      </c>
      <c r="B792" s="2" t="s">
        <v>138</v>
      </c>
      <c r="C792" s="2" t="s">
        <v>57</v>
      </c>
      <c r="D792" s="2" t="str">
        <f aca="false">INDEX(Léky!$B$2:$B$11,MATCH(C792,Léky!$A$2:$A$11,0))</f>
        <v>Levothyroxin 50 µg</v>
      </c>
      <c r="E792" s="2" t="str">
        <f aca="false">INDEX(Léky!$E$2:$E$11,MATCH(C792,Léky!$A$2:$A$11,0))</f>
        <v>Štítná žláza</v>
      </c>
      <c r="F792" s="2" t="n">
        <v>1</v>
      </c>
      <c r="G792" s="5" t="n">
        <f aca="false">INDEX(Léky!$H$2:$H$11,MATCH(C792,Léky!$A$2:$A$11,0))</f>
        <v>118</v>
      </c>
      <c r="H792" s="5" t="n">
        <f aca="false">F792*G792</f>
        <v>118</v>
      </c>
    </row>
    <row r="793" customFormat="false" ht="15" hidden="false" customHeight="false" outlineLevel="0" collapsed="false">
      <c r="A793" s="11" t="n">
        <v>45992</v>
      </c>
      <c r="B793" s="2" t="s">
        <v>138</v>
      </c>
      <c r="C793" s="2" t="s">
        <v>63</v>
      </c>
      <c r="D793" s="2" t="str">
        <f aca="false">INDEX(Léky!$B$2:$B$11,MATCH(C793,Léky!$A$2:$A$11,0))</f>
        <v>Omeprazol 20 mg</v>
      </c>
      <c r="E793" s="2" t="str">
        <f aca="false">INDEX(Léky!$E$2:$E$11,MATCH(C793,Léky!$A$2:$A$11,0))</f>
        <v>Trávení</v>
      </c>
      <c r="F793" s="2" t="n">
        <v>1</v>
      </c>
      <c r="G793" s="5" t="n">
        <f aca="false">INDEX(Léky!$H$2:$H$11,MATCH(C793,Léky!$A$2:$A$11,0))</f>
        <v>135</v>
      </c>
      <c r="H793" s="5" t="n">
        <f aca="false">F793*G793</f>
        <v>135</v>
      </c>
    </row>
    <row r="794" customFormat="false" ht="15" hidden="false" customHeight="false" outlineLevel="0" collapsed="false">
      <c r="A794" s="11" t="n">
        <v>45992</v>
      </c>
      <c r="B794" s="2" t="s">
        <v>139</v>
      </c>
      <c r="C794" s="2" t="s">
        <v>76</v>
      </c>
      <c r="D794" s="2" t="str">
        <f aca="false">INDEX(Léky!$B$2:$B$11,MATCH(C794,Léky!$A$2:$A$11,0))</f>
        <v>Salbutamol inhalátor</v>
      </c>
      <c r="E794" s="2" t="str">
        <f aca="false">INDEX(Léky!$E$2:$E$11,MATCH(C794,Léky!$A$2:$A$11,0))</f>
        <v>Dýchací cesty</v>
      </c>
      <c r="F794" s="2" t="n">
        <v>1</v>
      </c>
      <c r="G794" s="5" t="n">
        <f aca="false">INDEX(Léky!$H$2:$H$11,MATCH(C794,Léky!$A$2:$A$11,0))</f>
        <v>165</v>
      </c>
      <c r="H794" s="5" t="n">
        <f aca="false">F794*G794</f>
        <v>165</v>
      </c>
    </row>
    <row r="795" customFormat="false" ht="15" hidden="false" customHeight="false" outlineLevel="0" collapsed="false">
      <c r="A795" s="11" t="n">
        <v>45992</v>
      </c>
      <c r="B795" s="2" t="s">
        <v>139</v>
      </c>
      <c r="C795" s="2" t="s">
        <v>84</v>
      </c>
      <c r="D795" s="2" t="str">
        <f aca="false">INDEX(Léky!$B$2:$B$11,MATCH(C795,Léky!$A$2:$A$11,0))</f>
        <v>Amoxicilin 500 mg</v>
      </c>
      <c r="E795" s="2" t="str">
        <f aca="false">INDEX(Léky!$E$2:$E$11,MATCH(C795,Léky!$A$2:$A$11,0))</f>
        <v>Antibiotika</v>
      </c>
      <c r="F795" s="2" t="n">
        <v>1</v>
      </c>
      <c r="G795" s="5" t="n">
        <f aca="false">INDEX(Léky!$H$2:$H$11,MATCH(C795,Léky!$A$2:$A$11,0))</f>
        <v>120</v>
      </c>
      <c r="H795" s="5" t="n">
        <f aca="false">F795*G795</f>
        <v>120</v>
      </c>
    </row>
    <row r="796" customFormat="false" ht="15" hidden="false" customHeight="false" outlineLevel="0" collapsed="false">
      <c r="A796" s="11" t="n">
        <v>45992</v>
      </c>
      <c r="B796" s="2" t="s">
        <v>140</v>
      </c>
      <c r="C796" s="2" t="s">
        <v>48</v>
      </c>
      <c r="D796" s="2" t="str">
        <f aca="false">INDEX(Léky!$B$2:$B$11,MATCH(C796,Léky!$A$2:$A$11,0))</f>
        <v>Amlodipin 5 mg</v>
      </c>
      <c r="E796" s="2" t="str">
        <f aca="false">INDEX(Léky!$E$2:$E$11,MATCH(C796,Léky!$A$2:$A$11,0))</f>
        <v>Krevní tlak</v>
      </c>
      <c r="F796" s="2" t="n">
        <v>1</v>
      </c>
      <c r="G796" s="5" t="n">
        <f aca="false">INDEX(Léky!$H$2:$H$11,MATCH(C796,Léky!$A$2:$A$11,0))</f>
        <v>72</v>
      </c>
      <c r="H796" s="5" t="n">
        <f aca="false">F796*G796</f>
        <v>72</v>
      </c>
    </row>
    <row r="797" customFormat="false" ht="15" hidden="false" customHeight="false" outlineLevel="0" collapsed="false">
      <c r="A797" s="11" t="n">
        <v>45992</v>
      </c>
      <c r="B797" s="2" t="s">
        <v>141</v>
      </c>
      <c r="C797" s="2" t="s">
        <v>91</v>
      </c>
      <c r="D797" s="2" t="str">
        <f aca="false">INDEX(Léky!$B$2:$B$11,MATCH(C797,Léky!$A$2:$A$11,0))</f>
        <v>Ibuprofen 400 mg</v>
      </c>
      <c r="E797" s="2" t="str">
        <f aca="false">INDEX(Léky!$E$2:$E$11,MATCH(C797,Léky!$A$2:$A$11,0))</f>
        <v>Bolest</v>
      </c>
      <c r="F797" s="2" t="n">
        <v>1</v>
      </c>
      <c r="G797" s="5" t="n">
        <f aca="false">INDEX(Léky!$H$2:$H$11,MATCH(C797,Léky!$A$2:$A$11,0))</f>
        <v>65</v>
      </c>
      <c r="H797" s="5" t="n">
        <f aca="false">F797*G797</f>
        <v>65</v>
      </c>
    </row>
    <row r="798" customFormat="false" ht="15" hidden="false" customHeight="false" outlineLevel="0" collapsed="false">
      <c r="A798" s="11" t="n">
        <v>45992</v>
      </c>
      <c r="B798" s="2" t="s">
        <v>142</v>
      </c>
      <c r="C798" s="2" t="s">
        <v>48</v>
      </c>
      <c r="D798" s="2" t="str">
        <f aca="false">INDEX(Léky!$B$2:$B$11,MATCH(C798,Léky!$A$2:$A$11,0))</f>
        <v>Amlodipin 5 mg</v>
      </c>
      <c r="E798" s="2" t="str">
        <f aca="false">INDEX(Léky!$E$2:$E$11,MATCH(C798,Léky!$A$2:$A$11,0))</f>
        <v>Krevní tlak</v>
      </c>
      <c r="F798" s="2" t="n">
        <v>1</v>
      </c>
      <c r="G798" s="5" t="n">
        <f aca="false">INDEX(Léky!$H$2:$H$11,MATCH(C798,Léky!$A$2:$A$11,0))</f>
        <v>72</v>
      </c>
      <c r="H798" s="5" t="n">
        <f aca="false">F798*G798</f>
        <v>72</v>
      </c>
    </row>
    <row r="799" customFormat="false" ht="15" hidden="false" customHeight="false" outlineLevel="0" collapsed="false">
      <c r="A799" s="11" t="n">
        <v>45992</v>
      </c>
      <c r="B799" s="2" t="s">
        <v>142</v>
      </c>
      <c r="C799" s="2" t="s">
        <v>84</v>
      </c>
      <c r="D799" s="2" t="str">
        <f aca="false">INDEX(Léky!$B$2:$B$11,MATCH(C799,Léky!$A$2:$A$11,0))</f>
        <v>Amoxicilin 500 mg</v>
      </c>
      <c r="E799" s="2" t="str">
        <f aca="false">INDEX(Léky!$E$2:$E$11,MATCH(C799,Léky!$A$2:$A$11,0))</f>
        <v>Antibiotika</v>
      </c>
      <c r="F799" s="2" t="n">
        <v>1</v>
      </c>
      <c r="G799" s="5" t="n">
        <f aca="false">INDEX(Léky!$H$2:$H$11,MATCH(C799,Léky!$A$2:$A$11,0))</f>
        <v>120</v>
      </c>
      <c r="H799" s="5" t="n">
        <f aca="false">F799*G799</f>
        <v>120</v>
      </c>
    </row>
    <row r="800" customFormat="false" ht="15" hidden="false" customHeight="false" outlineLevel="0" collapsed="false">
      <c r="A800" s="11" t="n">
        <v>45992</v>
      </c>
      <c r="B800" s="2" t="s">
        <v>143</v>
      </c>
      <c r="C800" s="2" t="s">
        <v>76</v>
      </c>
      <c r="D800" s="2" t="str">
        <f aca="false">INDEX(Léky!$B$2:$B$11,MATCH(C800,Léky!$A$2:$A$11,0))</f>
        <v>Salbutamol inhalátor</v>
      </c>
      <c r="E800" s="2" t="str">
        <f aca="false">INDEX(Léky!$E$2:$E$11,MATCH(C800,Léky!$A$2:$A$11,0))</f>
        <v>Dýchací cesty</v>
      </c>
      <c r="F800" s="2" t="n">
        <v>1</v>
      </c>
      <c r="G800" s="5" t="n">
        <f aca="false">INDEX(Léky!$H$2:$H$11,MATCH(C800,Léky!$A$2:$A$11,0))</f>
        <v>165</v>
      </c>
      <c r="H800" s="5" t="n">
        <f aca="false">F800*G800</f>
        <v>165</v>
      </c>
    </row>
    <row r="801" customFormat="false" ht="15" hidden="false" customHeight="false" outlineLevel="0" collapsed="false">
      <c r="A801" s="11" t="n">
        <v>45992</v>
      </c>
      <c r="B801" s="2" t="s">
        <v>143</v>
      </c>
      <c r="C801" s="2" t="s">
        <v>84</v>
      </c>
      <c r="D801" s="2" t="str">
        <f aca="false">INDEX(Léky!$B$2:$B$11,MATCH(C801,Léky!$A$2:$A$11,0))</f>
        <v>Amoxicilin 500 mg</v>
      </c>
      <c r="E801" s="2" t="str">
        <f aca="false">INDEX(Léky!$E$2:$E$11,MATCH(C801,Léky!$A$2:$A$11,0))</f>
        <v>Antibiotika</v>
      </c>
      <c r="F801" s="2" t="n">
        <v>1</v>
      </c>
      <c r="G801" s="5" t="n">
        <f aca="false">INDEX(Léky!$H$2:$H$11,MATCH(C801,Léky!$A$2:$A$11,0))</f>
        <v>120</v>
      </c>
      <c r="H801" s="5" t="n">
        <f aca="false">F801*G801</f>
        <v>120</v>
      </c>
    </row>
    <row r="802" customFormat="false" ht="15" hidden="false" customHeight="false" outlineLevel="0" collapsed="false">
      <c r="A802" s="11" t="n">
        <v>45992</v>
      </c>
      <c r="B802" s="2" t="s">
        <v>144</v>
      </c>
      <c r="C802" s="2" t="s">
        <v>63</v>
      </c>
      <c r="D802" s="2" t="str">
        <f aca="false">INDEX(Léky!$B$2:$B$11,MATCH(C802,Léky!$A$2:$A$11,0))</f>
        <v>Omeprazol 20 mg</v>
      </c>
      <c r="E802" s="2" t="str">
        <f aca="false">INDEX(Léky!$E$2:$E$11,MATCH(C802,Léky!$A$2:$A$11,0))</f>
        <v>Trávení</v>
      </c>
      <c r="F802" s="2" t="n">
        <v>1</v>
      </c>
      <c r="G802" s="5" t="n">
        <f aca="false">INDEX(Léky!$H$2:$H$11,MATCH(C802,Léky!$A$2:$A$11,0))</f>
        <v>135</v>
      </c>
      <c r="H802" s="5" t="n">
        <f aca="false">F802*G802</f>
        <v>135</v>
      </c>
    </row>
    <row r="803" customFormat="false" ht="15" hidden="false" customHeight="false" outlineLevel="0" collapsed="false">
      <c r="A803" s="11" t="n">
        <v>45992</v>
      </c>
      <c r="B803" s="2" t="s">
        <v>145</v>
      </c>
      <c r="C803" s="2" t="s">
        <v>42</v>
      </c>
      <c r="D803" s="2" t="str">
        <f aca="false">INDEX(Léky!$B$2:$B$11,MATCH(C803,Léky!$A$2:$A$11,0))</f>
        <v>Atorvastatin 20 mg</v>
      </c>
      <c r="E803" s="2" t="str">
        <f aca="false">INDEX(Léky!$E$2:$E$11,MATCH(C803,Léky!$A$2:$A$11,0))</f>
        <v>Cholesterol</v>
      </c>
      <c r="F803" s="2" t="n">
        <v>1</v>
      </c>
      <c r="G803" s="5" t="n">
        <f aca="false">INDEX(Léky!$H$2:$H$11,MATCH(C803,Léky!$A$2:$A$11,0))</f>
        <v>145</v>
      </c>
      <c r="H803" s="5" t="n">
        <f aca="false">F803*G803</f>
        <v>145</v>
      </c>
    </row>
    <row r="804" customFormat="false" ht="15" hidden="false" customHeight="false" outlineLevel="0" collapsed="false">
      <c r="A804" s="11" t="n">
        <v>45992</v>
      </c>
      <c r="B804" s="2" t="s">
        <v>145</v>
      </c>
      <c r="C804" s="2" t="s">
        <v>57</v>
      </c>
      <c r="D804" s="2" t="str">
        <f aca="false">INDEX(Léky!$B$2:$B$11,MATCH(C804,Léky!$A$2:$A$11,0))</f>
        <v>Levothyroxin 50 µg</v>
      </c>
      <c r="E804" s="2" t="str">
        <f aca="false">INDEX(Léky!$E$2:$E$11,MATCH(C804,Léky!$A$2:$A$11,0))</f>
        <v>Štítná žláza</v>
      </c>
      <c r="F804" s="2" t="n">
        <v>1</v>
      </c>
      <c r="G804" s="5" t="n">
        <f aca="false">INDEX(Léky!$H$2:$H$11,MATCH(C804,Léky!$A$2:$A$11,0))</f>
        <v>118</v>
      </c>
      <c r="H804" s="5" t="n">
        <f aca="false">F804*G804</f>
        <v>118</v>
      </c>
    </row>
    <row r="805" customFormat="false" ht="15" hidden="false" customHeight="false" outlineLevel="0" collapsed="false">
      <c r="A805" s="11" t="n">
        <v>45992</v>
      </c>
      <c r="B805" s="2" t="s">
        <v>147</v>
      </c>
      <c r="C805" s="2" t="s">
        <v>34</v>
      </c>
      <c r="D805" s="2" t="str">
        <f aca="false">INDEX(Léky!$B$2:$B$11,MATCH(C805,Léky!$A$2:$A$11,0))</f>
        <v>Metformin 500 mg</v>
      </c>
      <c r="E805" s="2" t="str">
        <f aca="false">INDEX(Léky!$E$2:$E$11,MATCH(C805,Léky!$A$2:$A$11,0))</f>
        <v>Diabetes</v>
      </c>
      <c r="F805" s="2" t="n">
        <v>1</v>
      </c>
      <c r="G805" s="5" t="n">
        <f aca="false">INDEX(Léky!$H$2:$H$11,MATCH(C805,Léky!$A$2:$A$11,0))</f>
        <v>89</v>
      </c>
      <c r="H805" s="5" t="n">
        <f aca="false">F805*G805</f>
        <v>89</v>
      </c>
    </row>
    <row r="806" customFormat="false" ht="15" hidden="false" customHeight="false" outlineLevel="0" collapsed="false">
      <c r="A806" s="11" t="n">
        <v>45992</v>
      </c>
      <c r="B806" s="2" t="s">
        <v>149</v>
      </c>
      <c r="C806" s="2" t="s">
        <v>48</v>
      </c>
      <c r="D806" s="2" t="str">
        <f aca="false">INDEX(Léky!$B$2:$B$11,MATCH(C806,Léky!$A$2:$A$11,0))</f>
        <v>Amlodipin 5 mg</v>
      </c>
      <c r="E806" s="2" t="str">
        <f aca="false">INDEX(Léky!$E$2:$E$11,MATCH(C806,Léky!$A$2:$A$11,0))</f>
        <v>Krevní tlak</v>
      </c>
      <c r="F806" s="2" t="n">
        <v>1</v>
      </c>
      <c r="G806" s="5" t="n">
        <f aca="false">INDEX(Léky!$H$2:$H$11,MATCH(C806,Léky!$A$2:$A$11,0))</f>
        <v>72</v>
      </c>
      <c r="H806" s="5" t="n">
        <f aca="false">F806*G806</f>
        <v>72</v>
      </c>
    </row>
    <row r="807" customFormat="false" ht="15" hidden="false" customHeight="false" outlineLevel="0" collapsed="false">
      <c r="A807" s="11" t="n">
        <v>45992</v>
      </c>
      <c r="B807" s="2" t="s">
        <v>149</v>
      </c>
      <c r="C807" s="2" t="s">
        <v>84</v>
      </c>
      <c r="D807" s="2" t="str">
        <f aca="false">INDEX(Léky!$B$2:$B$11,MATCH(C807,Léky!$A$2:$A$11,0))</f>
        <v>Amoxicilin 500 mg</v>
      </c>
      <c r="E807" s="2" t="str">
        <f aca="false">INDEX(Léky!$E$2:$E$11,MATCH(C807,Léky!$A$2:$A$11,0))</f>
        <v>Antibiotika</v>
      </c>
      <c r="F807" s="2" t="n">
        <v>1</v>
      </c>
      <c r="G807" s="5" t="n">
        <f aca="false">INDEX(Léky!$H$2:$H$11,MATCH(C807,Léky!$A$2:$A$11,0))</f>
        <v>120</v>
      </c>
      <c r="H807" s="5" t="n">
        <f aca="false">F807*G807</f>
        <v>120</v>
      </c>
    </row>
    <row r="808" customFormat="false" ht="15" hidden="false" customHeight="false" outlineLevel="0" collapsed="false">
      <c r="A808" s="11" t="n">
        <v>45992</v>
      </c>
      <c r="B808" s="2" t="s">
        <v>150</v>
      </c>
      <c r="C808" s="2" t="s">
        <v>53</v>
      </c>
      <c r="D808" s="2" t="str">
        <f aca="false">INDEX(Léky!$B$2:$B$11,MATCH(C808,Léky!$A$2:$A$11,0))</f>
        <v>Ramipril 5 mg</v>
      </c>
      <c r="E808" s="2" t="str">
        <f aca="false">INDEX(Léky!$E$2:$E$11,MATCH(C808,Léky!$A$2:$A$11,0))</f>
        <v>Krevní tlak</v>
      </c>
      <c r="F808" s="2" t="n">
        <v>1</v>
      </c>
      <c r="G808" s="5" t="n">
        <f aca="false">INDEX(Léky!$H$2:$H$11,MATCH(C808,Léky!$A$2:$A$11,0))</f>
        <v>98</v>
      </c>
      <c r="H808" s="5" t="n">
        <f aca="false">F808*G808</f>
        <v>98</v>
      </c>
    </row>
    <row r="809" customFormat="false" ht="15" hidden="false" customHeight="false" outlineLevel="0" collapsed="false">
      <c r="A809" s="11" t="n">
        <v>45992</v>
      </c>
      <c r="B809" s="2" t="s">
        <v>150</v>
      </c>
      <c r="C809" s="2" t="s">
        <v>57</v>
      </c>
      <c r="D809" s="2" t="str">
        <f aca="false">INDEX(Léky!$B$2:$B$11,MATCH(C809,Léky!$A$2:$A$11,0))</f>
        <v>Levothyroxin 50 µg</v>
      </c>
      <c r="E809" s="2" t="str">
        <f aca="false">INDEX(Léky!$E$2:$E$11,MATCH(C809,Léky!$A$2:$A$11,0))</f>
        <v>Štítná žláza</v>
      </c>
      <c r="F809" s="2" t="n">
        <v>1</v>
      </c>
      <c r="G809" s="5" t="n">
        <f aca="false">INDEX(Léky!$H$2:$H$11,MATCH(C809,Léky!$A$2:$A$11,0))</f>
        <v>118</v>
      </c>
      <c r="H809" s="5" t="n">
        <f aca="false">F809*G809</f>
        <v>118</v>
      </c>
    </row>
    <row r="810" customFormat="false" ht="15" hidden="false" customHeight="false" outlineLevel="0" collapsed="false">
      <c r="A810" s="11" t="n">
        <v>45992</v>
      </c>
      <c r="B810" s="2" t="s">
        <v>151</v>
      </c>
      <c r="C810" s="2" t="s">
        <v>63</v>
      </c>
      <c r="D810" s="2" t="str">
        <f aca="false">INDEX(Léky!$B$2:$B$11,MATCH(C810,Léky!$A$2:$A$11,0))</f>
        <v>Omeprazol 20 mg</v>
      </c>
      <c r="E810" s="2" t="str">
        <f aca="false">INDEX(Léky!$E$2:$E$11,MATCH(C810,Léky!$A$2:$A$11,0))</f>
        <v>Trávení</v>
      </c>
      <c r="F810" s="2" t="n">
        <v>1</v>
      </c>
      <c r="G810" s="5" t="n">
        <f aca="false">INDEX(Léky!$H$2:$H$11,MATCH(C810,Léky!$A$2:$A$11,0))</f>
        <v>135</v>
      </c>
      <c r="H810" s="5" t="n">
        <f aca="false">F810*G810</f>
        <v>135</v>
      </c>
    </row>
    <row r="811" customFormat="false" ht="15" hidden="false" customHeight="false" outlineLevel="0" collapsed="false">
      <c r="A811" s="11" t="n">
        <v>45992</v>
      </c>
      <c r="B811" s="2" t="s">
        <v>152</v>
      </c>
      <c r="C811" s="2" t="s">
        <v>53</v>
      </c>
      <c r="D811" s="2" t="str">
        <f aca="false">INDEX(Léky!$B$2:$B$11,MATCH(C811,Léky!$A$2:$A$11,0))</f>
        <v>Ramipril 5 mg</v>
      </c>
      <c r="E811" s="2" t="str">
        <f aca="false">INDEX(Léky!$E$2:$E$11,MATCH(C811,Léky!$A$2:$A$11,0))</f>
        <v>Krevní tlak</v>
      </c>
      <c r="F811" s="2" t="n">
        <v>1</v>
      </c>
      <c r="G811" s="5" t="n">
        <f aca="false">INDEX(Léky!$H$2:$H$11,MATCH(C811,Léky!$A$2:$A$11,0))</f>
        <v>98</v>
      </c>
      <c r="H811" s="5" t="n">
        <f aca="false">F811*G811</f>
        <v>98</v>
      </c>
    </row>
    <row r="812" customFormat="false" ht="15" hidden="false" customHeight="false" outlineLevel="0" collapsed="false">
      <c r="A812" s="11" t="n">
        <v>45992</v>
      </c>
      <c r="B812" s="2" t="s">
        <v>154</v>
      </c>
      <c r="C812" s="2" t="s">
        <v>48</v>
      </c>
      <c r="D812" s="2" t="str">
        <f aca="false">INDEX(Léky!$B$2:$B$11,MATCH(C812,Léky!$A$2:$A$11,0))</f>
        <v>Amlodipin 5 mg</v>
      </c>
      <c r="E812" s="2" t="str">
        <f aca="false">INDEX(Léky!$E$2:$E$11,MATCH(C812,Léky!$A$2:$A$11,0))</f>
        <v>Krevní tlak</v>
      </c>
      <c r="F812" s="2" t="n">
        <v>1</v>
      </c>
      <c r="G812" s="5" t="n">
        <f aca="false">INDEX(Léky!$H$2:$H$11,MATCH(C812,Léky!$A$2:$A$11,0))</f>
        <v>72</v>
      </c>
      <c r="H812" s="5" t="n">
        <f aca="false">F812*G812</f>
        <v>72</v>
      </c>
    </row>
    <row r="813" customFormat="false" ht="15" hidden="false" customHeight="false" outlineLevel="0" collapsed="false">
      <c r="A813" s="11" t="n">
        <v>45992</v>
      </c>
      <c r="B813" s="2" t="s">
        <v>154</v>
      </c>
      <c r="C813" s="2" t="s">
        <v>76</v>
      </c>
      <c r="D813" s="2" t="str">
        <f aca="false">INDEX(Léky!$B$2:$B$11,MATCH(C813,Léky!$A$2:$A$11,0))</f>
        <v>Salbutamol inhalátor</v>
      </c>
      <c r="E813" s="2" t="str">
        <f aca="false">INDEX(Léky!$E$2:$E$11,MATCH(C813,Léky!$A$2:$A$11,0))</f>
        <v>Dýchací cesty</v>
      </c>
      <c r="F813" s="2" t="n">
        <v>1</v>
      </c>
      <c r="G813" s="5" t="n">
        <f aca="false">INDEX(Léky!$H$2:$H$11,MATCH(C813,Léky!$A$2:$A$11,0))</f>
        <v>165</v>
      </c>
      <c r="H813" s="5" t="n">
        <f aca="false">F813*G813</f>
        <v>165</v>
      </c>
    </row>
    <row r="814" customFormat="false" ht="15" hidden="false" customHeight="false" outlineLevel="0" collapsed="false">
      <c r="A814" s="11" t="n">
        <v>45992</v>
      </c>
      <c r="B814" s="2" t="s">
        <v>155</v>
      </c>
      <c r="C814" s="2" t="s">
        <v>42</v>
      </c>
      <c r="D814" s="2" t="str">
        <f aca="false">INDEX(Léky!$B$2:$B$11,MATCH(C814,Léky!$A$2:$A$11,0))</f>
        <v>Atorvastatin 20 mg</v>
      </c>
      <c r="E814" s="2" t="str">
        <f aca="false">INDEX(Léky!$E$2:$E$11,MATCH(C814,Léky!$A$2:$A$11,0))</f>
        <v>Cholesterol</v>
      </c>
      <c r="F814" s="2" t="n">
        <v>1</v>
      </c>
      <c r="G814" s="5" t="n">
        <f aca="false">INDEX(Léky!$H$2:$H$11,MATCH(C814,Léky!$A$2:$A$11,0))</f>
        <v>145</v>
      </c>
      <c r="H814" s="5" t="n">
        <f aca="false">F814*G814</f>
        <v>145</v>
      </c>
    </row>
    <row r="815" customFormat="false" ht="15" hidden="false" customHeight="false" outlineLevel="0" collapsed="false">
      <c r="A815" s="11" t="n">
        <v>45992</v>
      </c>
      <c r="B815" s="2" t="s">
        <v>155</v>
      </c>
      <c r="C815" s="2" t="s">
        <v>48</v>
      </c>
      <c r="D815" s="2" t="str">
        <f aca="false">INDEX(Léky!$B$2:$B$11,MATCH(C815,Léky!$A$2:$A$11,0))</f>
        <v>Amlodipin 5 mg</v>
      </c>
      <c r="E815" s="2" t="str">
        <f aca="false">INDEX(Léky!$E$2:$E$11,MATCH(C815,Léky!$A$2:$A$11,0))</f>
        <v>Krevní tlak</v>
      </c>
      <c r="F815" s="2" t="n">
        <v>1</v>
      </c>
      <c r="G815" s="5" t="n">
        <f aca="false">INDEX(Léky!$H$2:$H$11,MATCH(C815,Léky!$A$2:$A$11,0))</f>
        <v>72</v>
      </c>
      <c r="H815" s="5" t="n">
        <f aca="false">F815*G815</f>
        <v>72</v>
      </c>
    </row>
    <row r="816" customFormat="false" ht="15" hidden="false" customHeight="false" outlineLevel="0" collapsed="false">
      <c r="A816" s="11" t="n">
        <v>45992</v>
      </c>
      <c r="B816" s="2" t="s">
        <v>156</v>
      </c>
      <c r="C816" s="2" t="s">
        <v>42</v>
      </c>
      <c r="D816" s="2" t="str">
        <f aca="false">INDEX(Léky!$B$2:$B$11,MATCH(C816,Léky!$A$2:$A$11,0))</f>
        <v>Atorvastatin 20 mg</v>
      </c>
      <c r="E816" s="2" t="str">
        <f aca="false">INDEX(Léky!$E$2:$E$11,MATCH(C816,Léky!$A$2:$A$11,0))</f>
        <v>Cholesterol</v>
      </c>
      <c r="F816" s="2" t="n">
        <v>1</v>
      </c>
      <c r="G816" s="5" t="n">
        <f aca="false">INDEX(Léky!$H$2:$H$11,MATCH(C816,Léky!$A$2:$A$11,0))</f>
        <v>145</v>
      </c>
      <c r="H816" s="5" t="n">
        <f aca="false">F816*G816</f>
        <v>145</v>
      </c>
    </row>
    <row r="817" customFormat="false" ht="15" hidden="false" customHeight="false" outlineLevel="0" collapsed="false">
      <c r="A817" s="11" t="n">
        <v>45992</v>
      </c>
      <c r="B817" s="2" t="s">
        <v>156</v>
      </c>
      <c r="C817" s="2" t="s">
        <v>53</v>
      </c>
      <c r="D817" s="2" t="str">
        <f aca="false">INDEX(Léky!$B$2:$B$11,MATCH(C817,Léky!$A$2:$A$11,0))</f>
        <v>Ramipril 5 mg</v>
      </c>
      <c r="E817" s="2" t="str">
        <f aca="false">INDEX(Léky!$E$2:$E$11,MATCH(C817,Léky!$A$2:$A$11,0))</f>
        <v>Krevní tlak</v>
      </c>
      <c r="F817" s="2" t="n">
        <v>1</v>
      </c>
      <c r="G817" s="5" t="n">
        <f aca="false">INDEX(Léky!$H$2:$H$11,MATCH(C817,Léky!$A$2:$A$11,0))</f>
        <v>98</v>
      </c>
      <c r="H817" s="5" t="n">
        <f aca="false">F817*G817</f>
        <v>98</v>
      </c>
    </row>
    <row r="818" customFormat="false" ht="15" hidden="false" customHeight="false" outlineLevel="0" collapsed="false">
      <c r="A818" s="11" t="n">
        <v>45992</v>
      </c>
      <c r="B818" s="2" t="s">
        <v>156</v>
      </c>
      <c r="C818" s="2" t="s">
        <v>63</v>
      </c>
      <c r="D818" s="2" t="str">
        <f aca="false">INDEX(Léky!$B$2:$B$11,MATCH(C818,Léky!$A$2:$A$11,0))</f>
        <v>Omeprazol 20 mg</v>
      </c>
      <c r="E818" s="2" t="str">
        <f aca="false">INDEX(Léky!$E$2:$E$11,MATCH(C818,Léky!$A$2:$A$11,0))</f>
        <v>Trávení</v>
      </c>
      <c r="F818" s="2" t="n">
        <v>1</v>
      </c>
      <c r="G818" s="5" t="n">
        <f aca="false">INDEX(Léky!$H$2:$H$11,MATCH(C818,Léky!$A$2:$A$11,0))</f>
        <v>135</v>
      </c>
      <c r="H818" s="5" t="n">
        <f aca="false">F818*G818</f>
        <v>135</v>
      </c>
    </row>
    <row r="819" customFormat="false" ht="15" hidden="false" customHeight="false" outlineLevel="0" collapsed="false">
      <c r="A819" s="11" t="n">
        <v>45992</v>
      </c>
      <c r="B819" s="2" t="s">
        <v>157</v>
      </c>
      <c r="C819" s="2" t="s">
        <v>42</v>
      </c>
      <c r="D819" s="2" t="str">
        <f aca="false">INDEX(Léky!$B$2:$B$11,MATCH(C819,Léky!$A$2:$A$11,0))</f>
        <v>Atorvastatin 20 mg</v>
      </c>
      <c r="E819" s="2" t="str">
        <f aca="false">INDEX(Léky!$E$2:$E$11,MATCH(C819,Léky!$A$2:$A$11,0))</f>
        <v>Cholesterol</v>
      </c>
      <c r="F819" s="2" t="n">
        <v>1</v>
      </c>
      <c r="G819" s="5" t="n">
        <f aca="false">INDEX(Léky!$H$2:$H$11,MATCH(C819,Léky!$A$2:$A$11,0))</f>
        <v>145</v>
      </c>
      <c r="H819" s="5" t="n">
        <f aca="false">F819*G819</f>
        <v>145</v>
      </c>
    </row>
    <row r="820" customFormat="false" ht="15" hidden="false" customHeight="false" outlineLevel="0" collapsed="false">
      <c r="A820" s="11" t="n">
        <v>45992</v>
      </c>
      <c r="B820" s="2" t="s">
        <v>157</v>
      </c>
      <c r="C820" s="2" t="s">
        <v>48</v>
      </c>
      <c r="D820" s="2" t="str">
        <f aca="false">INDEX(Léky!$B$2:$B$11,MATCH(C820,Léky!$A$2:$A$11,0))</f>
        <v>Amlodipin 5 mg</v>
      </c>
      <c r="E820" s="2" t="str">
        <f aca="false">INDEX(Léky!$E$2:$E$11,MATCH(C820,Léky!$A$2:$A$11,0))</f>
        <v>Krevní tlak</v>
      </c>
      <c r="F820" s="2" t="n">
        <v>1</v>
      </c>
      <c r="G820" s="5" t="n">
        <f aca="false">INDEX(Léky!$H$2:$H$11,MATCH(C820,Léky!$A$2:$A$11,0))</f>
        <v>72</v>
      </c>
      <c r="H820" s="5" t="n">
        <f aca="false">F820*G820</f>
        <v>72</v>
      </c>
    </row>
    <row r="821" customFormat="false" ht="15" hidden="false" customHeight="false" outlineLevel="0" collapsed="false">
      <c r="A821" s="11" t="n">
        <v>45992</v>
      </c>
      <c r="B821" s="2" t="s">
        <v>157</v>
      </c>
      <c r="C821" s="2" t="s">
        <v>57</v>
      </c>
      <c r="D821" s="2" t="str">
        <f aca="false">INDEX(Léky!$B$2:$B$11,MATCH(C821,Léky!$A$2:$A$11,0))</f>
        <v>Levothyroxin 50 µg</v>
      </c>
      <c r="E821" s="2" t="str">
        <f aca="false">INDEX(Léky!$E$2:$E$11,MATCH(C821,Léky!$A$2:$A$11,0))</f>
        <v>Štítná žláza</v>
      </c>
      <c r="F821" s="2" t="n">
        <v>1</v>
      </c>
      <c r="G821" s="5" t="n">
        <f aca="false">INDEX(Léky!$H$2:$H$11,MATCH(C821,Léky!$A$2:$A$11,0))</f>
        <v>118</v>
      </c>
      <c r="H821" s="5" t="n">
        <f aca="false">F821*G821</f>
        <v>118</v>
      </c>
    </row>
    <row r="822" customFormat="false" ht="15" hidden="false" customHeight="false" outlineLevel="0" collapsed="false">
      <c r="A822" s="11" t="n">
        <v>45992</v>
      </c>
      <c r="B822" s="2" t="s">
        <v>157</v>
      </c>
      <c r="C822" s="2" t="s">
        <v>84</v>
      </c>
      <c r="D822" s="2" t="str">
        <f aca="false">INDEX(Léky!$B$2:$B$11,MATCH(C822,Léky!$A$2:$A$11,0))</f>
        <v>Amoxicilin 500 mg</v>
      </c>
      <c r="E822" s="2" t="str">
        <f aca="false">INDEX(Léky!$E$2:$E$11,MATCH(C822,Léky!$A$2:$A$11,0))</f>
        <v>Antibiotika</v>
      </c>
      <c r="F822" s="2" t="n">
        <v>1</v>
      </c>
      <c r="G822" s="5" t="n">
        <f aca="false">INDEX(Léky!$H$2:$H$11,MATCH(C822,Léky!$A$2:$A$11,0))</f>
        <v>120</v>
      </c>
      <c r="H822" s="5" t="n">
        <f aca="false">F822*G822</f>
        <v>120</v>
      </c>
    </row>
    <row r="823" customFormat="false" ht="15" hidden="false" customHeight="false" outlineLevel="0" collapsed="false">
      <c r="A823" s="11" t="n">
        <v>45992</v>
      </c>
      <c r="B823" s="2" t="s">
        <v>160</v>
      </c>
      <c r="C823" s="2" t="s">
        <v>48</v>
      </c>
      <c r="D823" s="2" t="str">
        <f aca="false">INDEX(Léky!$B$2:$B$11,MATCH(C823,Léky!$A$2:$A$11,0))</f>
        <v>Amlodipin 5 mg</v>
      </c>
      <c r="E823" s="2" t="str">
        <f aca="false">INDEX(Léky!$E$2:$E$11,MATCH(C823,Léky!$A$2:$A$11,0))</f>
        <v>Krevní tlak</v>
      </c>
      <c r="F823" s="2" t="n">
        <v>1</v>
      </c>
      <c r="G823" s="5" t="n">
        <f aca="false">INDEX(Léky!$H$2:$H$11,MATCH(C823,Léky!$A$2:$A$11,0))</f>
        <v>72</v>
      </c>
      <c r="H823" s="5" t="n">
        <f aca="false">F823*G823</f>
        <v>72</v>
      </c>
    </row>
    <row r="824" customFormat="false" ht="15" hidden="false" customHeight="false" outlineLevel="0" collapsed="false">
      <c r="A824" s="11" t="n">
        <v>45992</v>
      </c>
      <c r="B824" s="2" t="s">
        <v>160</v>
      </c>
      <c r="C824" s="2" t="s">
        <v>57</v>
      </c>
      <c r="D824" s="2" t="str">
        <f aca="false">INDEX(Léky!$B$2:$B$11,MATCH(C824,Léky!$A$2:$A$11,0))</f>
        <v>Levothyroxin 50 µg</v>
      </c>
      <c r="E824" s="2" t="str">
        <f aca="false">INDEX(Léky!$E$2:$E$11,MATCH(C824,Léky!$A$2:$A$11,0))</f>
        <v>Štítná žláza</v>
      </c>
      <c r="F824" s="2" t="n">
        <v>1</v>
      </c>
      <c r="G824" s="5" t="n">
        <f aca="false">INDEX(Léky!$H$2:$H$11,MATCH(C824,Léky!$A$2:$A$11,0))</f>
        <v>118</v>
      </c>
      <c r="H824" s="5" t="n">
        <f aca="false">F824*G824</f>
        <v>118</v>
      </c>
    </row>
    <row r="825" customFormat="false" ht="15" hidden="false" customHeight="false" outlineLevel="0" collapsed="false">
      <c r="A825" s="11" t="n">
        <v>45992</v>
      </c>
      <c r="B825" s="2" t="s">
        <v>161</v>
      </c>
      <c r="C825" s="2" t="s">
        <v>34</v>
      </c>
      <c r="D825" s="2" t="str">
        <f aca="false">INDEX(Léky!$B$2:$B$11,MATCH(C825,Léky!$A$2:$A$11,0))</f>
        <v>Metformin 500 mg</v>
      </c>
      <c r="E825" s="2" t="str">
        <f aca="false">INDEX(Léky!$E$2:$E$11,MATCH(C825,Léky!$A$2:$A$11,0))</f>
        <v>Diabetes</v>
      </c>
      <c r="F825" s="2" t="n">
        <v>2</v>
      </c>
      <c r="G825" s="5" t="n">
        <f aca="false">INDEX(Léky!$H$2:$H$11,MATCH(C825,Léky!$A$2:$A$11,0))</f>
        <v>89</v>
      </c>
      <c r="H825" s="5" t="n">
        <f aca="false">F825*G825</f>
        <v>178</v>
      </c>
    </row>
    <row r="826" customFormat="false" ht="15" hidden="false" customHeight="false" outlineLevel="0" collapsed="false">
      <c r="A826" s="11" t="n">
        <v>45992</v>
      </c>
      <c r="B826" s="2" t="s">
        <v>161</v>
      </c>
      <c r="C826" s="2" t="s">
        <v>53</v>
      </c>
      <c r="D826" s="2" t="str">
        <f aca="false">INDEX(Léky!$B$2:$B$11,MATCH(C826,Léky!$A$2:$A$11,0))</f>
        <v>Ramipril 5 mg</v>
      </c>
      <c r="E826" s="2" t="str">
        <f aca="false">INDEX(Léky!$E$2:$E$11,MATCH(C826,Léky!$A$2:$A$11,0))</f>
        <v>Krevní tlak</v>
      </c>
      <c r="F826" s="2" t="n">
        <v>1</v>
      </c>
      <c r="G826" s="5" t="n">
        <f aca="false">INDEX(Léky!$H$2:$H$11,MATCH(C826,Léky!$A$2:$A$11,0))</f>
        <v>98</v>
      </c>
      <c r="H826" s="5" t="n">
        <f aca="false">F826*G826</f>
        <v>98</v>
      </c>
    </row>
    <row r="827" customFormat="false" ht="15" hidden="false" customHeight="false" outlineLevel="0" collapsed="false">
      <c r="A827" s="11" t="n">
        <v>45992</v>
      </c>
      <c r="B827" s="2" t="s">
        <v>162</v>
      </c>
      <c r="C827" s="2" t="s">
        <v>42</v>
      </c>
      <c r="D827" s="2" t="str">
        <f aca="false">INDEX(Léky!$B$2:$B$11,MATCH(C827,Léky!$A$2:$A$11,0))</f>
        <v>Atorvastatin 20 mg</v>
      </c>
      <c r="E827" s="2" t="str">
        <f aca="false">INDEX(Léky!$E$2:$E$11,MATCH(C827,Léky!$A$2:$A$11,0))</f>
        <v>Cholesterol</v>
      </c>
      <c r="F827" s="2" t="n">
        <v>1</v>
      </c>
      <c r="G827" s="5" t="n">
        <f aca="false">INDEX(Léky!$H$2:$H$11,MATCH(C827,Léky!$A$2:$A$11,0))</f>
        <v>145</v>
      </c>
      <c r="H827" s="5" t="n">
        <f aca="false">F827*G827</f>
        <v>145</v>
      </c>
    </row>
    <row r="828" customFormat="false" ht="15" hidden="false" customHeight="false" outlineLevel="0" collapsed="false">
      <c r="A828" s="11" t="n">
        <v>45992</v>
      </c>
      <c r="B828" s="2" t="s">
        <v>163</v>
      </c>
      <c r="C828" s="2" t="s">
        <v>63</v>
      </c>
      <c r="D828" s="2" t="str">
        <f aca="false">INDEX(Léky!$B$2:$B$11,MATCH(C828,Léky!$A$2:$A$11,0))</f>
        <v>Omeprazol 20 mg</v>
      </c>
      <c r="E828" s="2" t="str">
        <f aca="false">INDEX(Léky!$E$2:$E$11,MATCH(C828,Léky!$A$2:$A$11,0))</f>
        <v>Trávení</v>
      </c>
      <c r="F828" s="2" t="n">
        <v>1</v>
      </c>
      <c r="G828" s="5" t="n">
        <f aca="false">INDEX(Léky!$H$2:$H$11,MATCH(C828,Léky!$A$2:$A$11,0))</f>
        <v>135</v>
      </c>
      <c r="H828" s="5" t="n">
        <f aca="false">F828*G828</f>
        <v>135</v>
      </c>
    </row>
    <row r="829" customFormat="false" ht="15" hidden="false" customHeight="false" outlineLevel="0" collapsed="false">
      <c r="A829" s="11" t="n">
        <v>45992</v>
      </c>
      <c r="B829" s="2" t="s">
        <v>164</v>
      </c>
      <c r="C829" s="2" t="s">
        <v>91</v>
      </c>
      <c r="D829" s="2" t="str">
        <f aca="false">INDEX(Léky!$B$2:$B$11,MATCH(C829,Léky!$A$2:$A$11,0))</f>
        <v>Ibuprofen 400 mg</v>
      </c>
      <c r="E829" s="2" t="str">
        <f aca="false">INDEX(Léky!$E$2:$E$11,MATCH(C829,Léky!$A$2:$A$11,0))</f>
        <v>Bolest</v>
      </c>
      <c r="F829" s="2" t="n">
        <v>1</v>
      </c>
      <c r="G829" s="5" t="n">
        <f aca="false">INDEX(Léky!$H$2:$H$11,MATCH(C829,Léky!$A$2:$A$11,0))</f>
        <v>65</v>
      </c>
      <c r="H829" s="5" t="n">
        <f aca="false">F829*G829</f>
        <v>65</v>
      </c>
    </row>
    <row r="830" customFormat="false" ht="15" hidden="false" customHeight="false" outlineLevel="0" collapsed="false">
      <c r="A830" s="11" t="n">
        <v>45992</v>
      </c>
      <c r="B830" s="2" t="s">
        <v>167</v>
      </c>
      <c r="C830" s="2" t="s">
        <v>53</v>
      </c>
      <c r="D830" s="2" t="str">
        <f aca="false">INDEX(Léky!$B$2:$B$11,MATCH(C830,Léky!$A$2:$A$11,0))</f>
        <v>Ramipril 5 mg</v>
      </c>
      <c r="E830" s="2" t="str">
        <f aca="false">INDEX(Léky!$E$2:$E$11,MATCH(C830,Léky!$A$2:$A$11,0))</f>
        <v>Krevní tlak</v>
      </c>
      <c r="F830" s="2" t="n">
        <v>1</v>
      </c>
      <c r="G830" s="5" t="n">
        <f aca="false">INDEX(Léky!$H$2:$H$11,MATCH(C830,Léky!$A$2:$A$11,0))</f>
        <v>98</v>
      </c>
      <c r="H830" s="5" t="n">
        <f aca="false">F830*G830</f>
        <v>98</v>
      </c>
    </row>
    <row r="831" customFormat="false" ht="15" hidden="false" customHeight="false" outlineLevel="0" collapsed="false">
      <c r="A831" s="11" t="n">
        <v>45992</v>
      </c>
      <c r="B831" s="2" t="s">
        <v>168</v>
      </c>
      <c r="C831" s="2" t="s">
        <v>34</v>
      </c>
      <c r="D831" s="2" t="str">
        <f aca="false">INDEX(Léky!$B$2:$B$11,MATCH(C831,Léky!$A$2:$A$11,0))</f>
        <v>Metformin 500 mg</v>
      </c>
      <c r="E831" s="2" t="str">
        <f aca="false">INDEX(Léky!$E$2:$E$11,MATCH(C831,Léky!$A$2:$A$11,0))</f>
        <v>Diabetes</v>
      </c>
      <c r="F831" s="2" t="n">
        <v>1</v>
      </c>
      <c r="G831" s="5" t="n">
        <f aca="false">INDEX(Léky!$H$2:$H$11,MATCH(C831,Léky!$A$2:$A$11,0))</f>
        <v>89</v>
      </c>
      <c r="H831" s="5" t="n">
        <f aca="false">F831*G831</f>
        <v>89</v>
      </c>
    </row>
    <row r="832" customFormat="false" ht="15" hidden="false" customHeight="false" outlineLevel="0" collapsed="false">
      <c r="A832" s="11" t="n">
        <v>45992</v>
      </c>
      <c r="B832" s="2" t="s">
        <v>169</v>
      </c>
      <c r="C832" s="2" t="s">
        <v>63</v>
      </c>
      <c r="D832" s="2" t="str">
        <f aca="false">INDEX(Léky!$B$2:$B$11,MATCH(C832,Léky!$A$2:$A$11,0))</f>
        <v>Omeprazol 20 mg</v>
      </c>
      <c r="E832" s="2" t="str">
        <f aca="false">INDEX(Léky!$E$2:$E$11,MATCH(C832,Léky!$A$2:$A$11,0))</f>
        <v>Trávení</v>
      </c>
      <c r="F832" s="2" t="n">
        <v>1</v>
      </c>
      <c r="G832" s="5" t="n">
        <f aca="false">INDEX(Léky!$H$2:$H$11,MATCH(C832,Léky!$A$2:$A$11,0))</f>
        <v>135</v>
      </c>
      <c r="H832" s="5" t="n">
        <f aca="false">F832*G832</f>
        <v>135</v>
      </c>
    </row>
    <row r="833" customFormat="false" ht="15" hidden="false" customHeight="false" outlineLevel="0" collapsed="false">
      <c r="A833" s="11" t="n">
        <v>45992</v>
      </c>
      <c r="B833" s="2" t="s">
        <v>170</v>
      </c>
      <c r="C833" s="2" t="s">
        <v>63</v>
      </c>
      <c r="D833" s="2" t="str">
        <f aca="false">INDEX(Léky!$B$2:$B$11,MATCH(C833,Léky!$A$2:$A$11,0))</f>
        <v>Omeprazol 20 mg</v>
      </c>
      <c r="E833" s="2" t="str">
        <f aca="false">INDEX(Léky!$E$2:$E$11,MATCH(C833,Léky!$A$2:$A$11,0))</f>
        <v>Trávení</v>
      </c>
      <c r="F833" s="2" t="n">
        <v>1</v>
      </c>
      <c r="G833" s="5" t="n">
        <f aca="false">INDEX(Léky!$H$2:$H$11,MATCH(C833,Léky!$A$2:$A$11,0))</f>
        <v>135</v>
      </c>
      <c r="H833" s="5" t="n">
        <f aca="false">F833*G833</f>
        <v>135</v>
      </c>
    </row>
    <row r="834" customFormat="false" ht="15" hidden="false" customHeight="false" outlineLevel="0" collapsed="false">
      <c r="A834" s="11" t="n">
        <v>45992</v>
      </c>
      <c r="B834" s="2" t="s">
        <v>171</v>
      </c>
      <c r="C834" s="2" t="s">
        <v>34</v>
      </c>
      <c r="D834" s="2" t="str">
        <f aca="false">INDEX(Léky!$B$2:$B$11,MATCH(C834,Léky!$A$2:$A$11,0))</f>
        <v>Metformin 500 mg</v>
      </c>
      <c r="E834" s="2" t="str">
        <f aca="false">INDEX(Léky!$E$2:$E$11,MATCH(C834,Léky!$A$2:$A$11,0))</f>
        <v>Diabetes</v>
      </c>
      <c r="F834" s="2" t="n">
        <v>2</v>
      </c>
      <c r="G834" s="5" t="n">
        <f aca="false">INDEX(Léky!$H$2:$H$11,MATCH(C834,Léky!$A$2:$A$11,0))</f>
        <v>89</v>
      </c>
      <c r="H834" s="5" t="n">
        <f aca="false">F834*G834</f>
        <v>178</v>
      </c>
    </row>
    <row r="835" customFormat="false" ht="15" hidden="false" customHeight="false" outlineLevel="0" collapsed="false">
      <c r="A835" s="11" t="n">
        <v>45992</v>
      </c>
      <c r="B835" s="2" t="s">
        <v>171</v>
      </c>
      <c r="C835" s="2" t="s">
        <v>48</v>
      </c>
      <c r="D835" s="2" t="str">
        <f aca="false">INDEX(Léky!$B$2:$B$11,MATCH(C835,Léky!$A$2:$A$11,0))</f>
        <v>Amlodipin 5 mg</v>
      </c>
      <c r="E835" s="2" t="str">
        <f aca="false">INDEX(Léky!$E$2:$E$11,MATCH(C835,Léky!$A$2:$A$11,0))</f>
        <v>Krevní tlak</v>
      </c>
      <c r="F835" s="2" t="n">
        <v>1</v>
      </c>
      <c r="G835" s="5" t="n">
        <f aca="false">INDEX(Léky!$H$2:$H$11,MATCH(C835,Léky!$A$2:$A$11,0))</f>
        <v>72</v>
      </c>
      <c r="H835" s="5" t="n">
        <f aca="false">F835*G835</f>
        <v>72</v>
      </c>
    </row>
    <row r="836" customFormat="false" ht="15" hidden="false" customHeight="false" outlineLevel="0" collapsed="false">
      <c r="A836" s="11" t="n">
        <v>45992</v>
      </c>
      <c r="B836" s="2" t="s">
        <v>171</v>
      </c>
      <c r="C836" s="2" t="s">
        <v>57</v>
      </c>
      <c r="D836" s="2" t="str">
        <f aca="false">INDEX(Léky!$B$2:$B$11,MATCH(C836,Léky!$A$2:$A$11,0))</f>
        <v>Levothyroxin 50 µg</v>
      </c>
      <c r="E836" s="2" t="str">
        <f aca="false">INDEX(Léky!$E$2:$E$11,MATCH(C836,Léky!$A$2:$A$11,0))</f>
        <v>Štítná žláza</v>
      </c>
      <c r="F836" s="2" t="n">
        <v>1</v>
      </c>
      <c r="G836" s="5" t="n">
        <f aca="false">INDEX(Léky!$H$2:$H$11,MATCH(C836,Léky!$A$2:$A$11,0))</f>
        <v>118</v>
      </c>
      <c r="H836" s="5" t="n">
        <f aca="false">F836*G836</f>
        <v>118</v>
      </c>
    </row>
    <row r="837" customFormat="false" ht="15" hidden="false" customHeight="false" outlineLevel="0" collapsed="false">
      <c r="A837" s="11" t="n">
        <v>45992</v>
      </c>
      <c r="B837" s="2" t="s">
        <v>173</v>
      </c>
      <c r="C837" s="2" t="s">
        <v>53</v>
      </c>
      <c r="D837" s="2" t="str">
        <f aca="false">INDEX(Léky!$B$2:$B$11,MATCH(C837,Léky!$A$2:$A$11,0))</f>
        <v>Ramipril 5 mg</v>
      </c>
      <c r="E837" s="2" t="str">
        <f aca="false">INDEX(Léky!$E$2:$E$11,MATCH(C837,Léky!$A$2:$A$11,0))</f>
        <v>Krevní tlak</v>
      </c>
      <c r="F837" s="2" t="n">
        <v>1</v>
      </c>
      <c r="G837" s="5" t="n">
        <f aca="false">INDEX(Léky!$H$2:$H$11,MATCH(C837,Léky!$A$2:$A$11,0))</f>
        <v>98</v>
      </c>
      <c r="H837" s="5" t="n">
        <f aca="false">F837*G837</f>
        <v>98</v>
      </c>
    </row>
    <row r="838" customFormat="false" ht="15" hidden="false" customHeight="false" outlineLevel="0" collapsed="false">
      <c r="A838" s="11" t="n">
        <v>45992</v>
      </c>
      <c r="B838" s="2" t="s">
        <v>174</v>
      </c>
      <c r="C838" s="2" t="s">
        <v>48</v>
      </c>
      <c r="D838" s="2" t="str">
        <f aca="false">INDEX(Léky!$B$2:$B$11,MATCH(C838,Léky!$A$2:$A$11,0))</f>
        <v>Amlodipin 5 mg</v>
      </c>
      <c r="E838" s="2" t="str">
        <f aca="false">INDEX(Léky!$E$2:$E$11,MATCH(C838,Léky!$A$2:$A$11,0))</f>
        <v>Krevní tlak</v>
      </c>
      <c r="F838" s="2" t="n">
        <v>1</v>
      </c>
      <c r="G838" s="5" t="n">
        <f aca="false">INDEX(Léky!$H$2:$H$11,MATCH(C838,Léky!$A$2:$A$11,0))</f>
        <v>72</v>
      </c>
      <c r="H838" s="5" t="n">
        <f aca="false">F838*G838</f>
        <v>72</v>
      </c>
    </row>
    <row r="839" customFormat="false" ht="15" hidden="false" customHeight="false" outlineLevel="0" collapsed="false">
      <c r="A839" s="11" t="n">
        <v>45992</v>
      </c>
      <c r="B839" s="2" t="s">
        <v>174</v>
      </c>
      <c r="C839" s="2" t="s">
        <v>53</v>
      </c>
      <c r="D839" s="2" t="str">
        <f aca="false">INDEX(Léky!$B$2:$B$11,MATCH(C839,Léky!$A$2:$A$11,0))</f>
        <v>Ramipril 5 mg</v>
      </c>
      <c r="E839" s="2" t="str">
        <f aca="false">INDEX(Léky!$E$2:$E$11,MATCH(C839,Léky!$A$2:$A$11,0))</f>
        <v>Krevní tlak</v>
      </c>
      <c r="F839" s="2" t="n">
        <v>1</v>
      </c>
      <c r="G839" s="5" t="n">
        <f aca="false">INDEX(Léky!$H$2:$H$11,MATCH(C839,Léky!$A$2:$A$11,0))</f>
        <v>98</v>
      </c>
      <c r="H839" s="5" t="n">
        <f aca="false">F839*G839</f>
        <v>98</v>
      </c>
    </row>
    <row r="840" customFormat="false" ht="15" hidden="false" customHeight="false" outlineLevel="0" collapsed="false">
      <c r="A840" s="11" t="n">
        <v>45992</v>
      </c>
      <c r="B840" s="2" t="s">
        <v>174</v>
      </c>
      <c r="C840" s="2" t="s">
        <v>84</v>
      </c>
      <c r="D840" s="2" t="str">
        <f aca="false">INDEX(Léky!$B$2:$B$11,MATCH(C840,Léky!$A$2:$A$11,0))</f>
        <v>Amoxicilin 500 mg</v>
      </c>
      <c r="E840" s="2" t="str">
        <f aca="false">INDEX(Léky!$E$2:$E$11,MATCH(C840,Léky!$A$2:$A$11,0))</f>
        <v>Antibiotika</v>
      </c>
      <c r="F840" s="2" t="n">
        <v>1</v>
      </c>
      <c r="G840" s="5" t="n">
        <f aca="false">INDEX(Léky!$H$2:$H$11,MATCH(C840,Léky!$A$2:$A$11,0))</f>
        <v>120</v>
      </c>
      <c r="H840" s="5" t="n">
        <f aca="false">F840*G840</f>
        <v>120</v>
      </c>
    </row>
    <row r="841" customFormat="false" ht="15" hidden="false" customHeight="false" outlineLevel="0" collapsed="false">
      <c r="A841" s="11" t="n">
        <v>45992</v>
      </c>
      <c r="B841" s="2" t="s">
        <v>175</v>
      </c>
      <c r="C841" s="2" t="s">
        <v>63</v>
      </c>
      <c r="D841" s="2" t="str">
        <f aca="false">INDEX(Léky!$B$2:$B$11,MATCH(C841,Léky!$A$2:$A$11,0))</f>
        <v>Omeprazol 20 mg</v>
      </c>
      <c r="E841" s="2" t="str">
        <f aca="false">INDEX(Léky!$E$2:$E$11,MATCH(C841,Léky!$A$2:$A$11,0))</f>
        <v>Trávení</v>
      </c>
      <c r="F841" s="2" t="n">
        <v>1</v>
      </c>
      <c r="G841" s="5" t="n">
        <f aca="false">INDEX(Léky!$H$2:$H$11,MATCH(C841,Léky!$A$2:$A$11,0))</f>
        <v>135</v>
      </c>
      <c r="H841" s="5" t="n">
        <f aca="false">F841*G841</f>
        <v>135</v>
      </c>
    </row>
  </sheetData>
  <autoFilter ref="A1:H8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2026-09-27T16:25:52Z</dcterms:created>
  <dc:creator>openpyxl</dc:creator>
  <dc:description/>
  <dc:language>en-US</dc:language>
  <cp:lastModifiedBy/>
  <dcterms:modified xsi:type="dcterms:W3CDTF">2026-09-27T16:25:52Z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