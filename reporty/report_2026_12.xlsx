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Grafy" sheetId="2" state="visible" r:id="rId2"/>
    <sheet name="Výdeje v měsí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-#,##0;\-"/>
    <numFmt numFmtId="165" formatCode="\+0.0%;\-0.0%;0.0%"/>
    <numFmt numFmtId="166" formatCode="yyyy-mm-dd h:mm:ss"/>
    <numFmt numFmtId="167" formatCode="mm/yyyy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>
          <bgColor rgb="00FBE3E3"/>
        </patternFill>
      </fill>
    </dxf>
    <dxf>
      <fill>
        <patternFill>
          <bgColor rgb="00E1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14425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1144250" cy="5572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Měsíční report výdejů – prosinec 2026</t>
        </is>
      </c>
    </row>
    <row r="2">
      <c r="A2" t="inlineStr">
        <is>
          <t>Zdroj: ukazkova_data_leky_pacienti_2026.xlsx · srovnání s měsícem listopad 2026 · zvýrazněny změny nad ±20%</t>
        </is>
      </c>
    </row>
    <row r="4">
      <c r="A4" s="2" t="inlineStr">
        <is>
          <t>Hlavní ukazatele</t>
        </is>
      </c>
    </row>
    <row r="5">
      <c r="A5" s="3" t="inlineStr">
        <is>
          <t>Ukazatel</t>
        </is>
      </c>
      <c r="B5" s="3" t="inlineStr">
        <is>
          <t>prosinec 2026</t>
        </is>
      </c>
      <c r="C5" s="3" t="inlineStr">
        <is>
          <t>listopad 2026</t>
        </is>
      </c>
      <c r="D5" s="3" t="inlineStr">
        <is>
          <t>Rozdíl</t>
        </is>
      </c>
      <c r="E5" s="3" t="inlineStr">
        <is>
          <t>Změna %</t>
        </is>
      </c>
    </row>
    <row r="6">
      <c r="A6" t="inlineStr">
        <is>
          <t>Tržby (Kč)</t>
        </is>
      </c>
      <c r="B6" s="4" t="n">
        <v>10805</v>
      </c>
      <c r="C6" s="4" t="n">
        <v>12059</v>
      </c>
      <c r="D6" s="4">
        <f>B6-C6</f>
        <v/>
      </c>
      <c r="E6" s="5">
        <f>IF(C6=0,"",B6/C6-1)</f>
        <v/>
      </c>
    </row>
    <row r="7">
      <c r="A7" t="inlineStr">
        <is>
          <t>Vydaná balení</t>
        </is>
      </c>
      <c r="B7" s="4" t="n">
        <v>89</v>
      </c>
      <c r="C7" s="4" t="n">
        <v>103</v>
      </c>
      <c r="D7" s="4">
        <f>B7-C7</f>
        <v/>
      </c>
      <c r="E7" s="5">
        <f>IF(C7=0,"",B7/C7-1)</f>
        <v/>
      </c>
    </row>
    <row r="8">
      <c r="A8" t="inlineStr">
        <is>
          <t>Počet výdejů</t>
        </is>
      </c>
      <c r="B8" s="4" t="n">
        <v>86</v>
      </c>
      <c r="C8" s="4" t="n">
        <v>93</v>
      </c>
      <c r="D8" s="4">
        <f>B8-C8</f>
        <v/>
      </c>
      <c r="E8" s="5">
        <f>IF(C8=0,"",B8/C8-1)</f>
        <v/>
      </c>
    </row>
    <row r="9">
      <c r="A9" t="inlineStr">
        <is>
          <t>Aktivní pacienti</t>
        </is>
      </c>
      <c r="B9" s="4" t="n">
        <v>55</v>
      </c>
      <c r="C9" s="4" t="n">
        <v>53</v>
      </c>
      <c r="D9" s="4">
        <f>B9-C9</f>
        <v/>
      </c>
      <c r="E9" s="5">
        <f>IF(C9=0,"",B9/C9-1)</f>
        <v/>
      </c>
    </row>
    <row r="10">
      <c r="A10" t="inlineStr">
        <is>
          <t>Noví pacienti</t>
        </is>
      </c>
      <c r="B10" s="4" t="n">
        <v>0</v>
      </c>
      <c r="C10" s="4" t="n">
        <v>0</v>
      </c>
      <c r="D10" s="4">
        <f>B10-C10</f>
        <v/>
      </c>
      <c r="E10" s="5">
        <f>IF(C10=0,"",B10/C10-1)</f>
        <v/>
      </c>
    </row>
    <row r="13">
      <c r="A13" s="2" t="inlineStr">
        <is>
          <t>Podle léku</t>
        </is>
      </c>
    </row>
    <row r="14">
      <c r="A14" s="3" t="inlineStr">
        <is>
          <t>Lék</t>
        </is>
      </c>
      <c r="B14" s="3" t="inlineStr">
        <is>
          <t>Tržby prosinec 2026</t>
        </is>
      </c>
      <c r="C14" s="3" t="inlineStr">
        <is>
          <t>Tržby listopad 2026</t>
        </is>
      </c>
      <c r="D14" s="3" t="inlineStr">
        <is>
          <t>Rozdíl (Kč)</t>
        </is>
      </c>
      <c r="E14" s="3" t="inlineStr">
        <is>
          <t>Změna %</t>
        </is>
      </c>
      <c r="F14" s="3" t="inlineStr">
        <is>
          <t>Balení prosinec 2026</t>
        </is>
      </c>
      <c r="G14" s="3" t="inlineStr">
        <is>
          <t>Balení listopad 2026</t>
        </is>
      </c>
    </row>
    <row r="15">
      <c r="A15" t="inlineStr">
        <is>
          <t>Levothyroxin 50 µg</t>
        </is>
      </c>
      <c r="B15" s="4" t="n">
        <v>1708</v>
      </c>
      <c r="C15" s="4" t="n">
        <v>1708</v>
      </c>
      <c r="D15" s="4">
        <f>B15-C15</f>
        <v/>
      </c>
      <c r="E15" s="5">
        <f>IF(C15=0,"",B15/C15-1)</f>
        <v/>
      </c>
      <c r="F15" s="4" t="n">
        <v>14</v>
      </c>
      <c r="G15" s="4" t="n">
        <v>14</v>
      </c>
    </row>
    <row r="16">
      <c r="A16" t="inlineStr">
        <is>
          <t>Ramipril 5 mg</t>
        </is>
      </c>
      <c r="B16" s="4" t="n">
        <v>1515</v>
      </c>
      <c r="C16" s="4" t="n">
        <v>1414</v>
      </c>
      <c r="D16" s="4">
        <f>B16-C16</f>
        <v/>
      </c>
      <c r="E16" s="5">
        <f>IF(C16=0,"",B16/C16-1)</f>
        <v/>
      </c>
      <c r="F16" s="4" t="n">
        <v>15</v>
      </c>
      <c r="G16" s="4" t="n">
        <v>14</v>
      </c>
    </row>
    <row r="17">
      <c r="A17" t="inlineStr">
        <is>
          <t>Sertralin 50 mg</t>
        </is>
      </c>
      <c r="B17" s="4" t="n">
        <v>1512</v>
      </c>
      <c r="C17" s="4" t="n">
        <v>1080</v>
      </c>
      <c r="D17" s="4">
        <f>B17-C17</f>
        <v/>
      </c>
      <c r="E17" s="5">
        <f>IF(C17=0,"",B17/C17-1)</f>
        <v/>
      </c>
      <c r="F17" s="4" t="n">
        <v>7</v>
      </c>
      <c r="G17" s="4" t="n">
        <v>5</v>
      </c>
    </row>
    <row r="18">
      <c r="A18" t="inlineStr">
        <is>
          <t>Omeprazol 20 mg</t>
        </is>
      </c>
      <c r="B18" s="4" t="n">
        <v>1251</v>
      </c>
      <c r="C18" s="4" t="n">
        <v>1807</v>
      </c>
      <c r="D18" s="4">
        <f>B18-C18</f>
        <v/>
      </c>
      <c r="E18" s="5">
        <f>IF(C18=0,"",B18/C18-1)</f>
        <v/>
      </c>
      <c r="F18" s="4" t="n">
        <v>9</v>
      </c>
      <c r="G18" s="4" t="n">
        <v>13</v>
      </c>
    </row>
    <row r="19">
      <c r="A19" t="inlineStr">
        <is>
          <t>Salbutamol inhalátor</t>
        </is>
      </c>
      <c r="B19" s="4" t="n">
        <v>1190</v>
      </c>
      <c r="C19" s="4" t="n">
        <v>1020</v>
      </c>
      <c r="D19" s="4">
        <f>B19-C19</f>
        <v/>
      </c>
      <c r="E19" s="5">
        <f>IF(C19=0,"",B19/C19-1)</f>
        <v/>
      </c>
      <c r="F19" s="4" t="n">
        <v>7</v>
      </c>
      <c r="G19" s="4" t="n">
        <v>6</v>
      </c>
    </row>
    <row r="20">
      <c r="A20" t="inlineStr">
        <is>
          <t>Amoxicilin 500 mg</t>
        </is>
      </c>
      <c r="B20" s="4" t="n">
        <v>992</v>
      </c>
      <c r="C20" s="4" t="n">
        <v>1488</v>
      </c>
      <c r="D20" s="4">
        <f>B20-C20</f>
        <v/>
      </c>
      <c r="E20" s="5">
        <f>IF(C20=0,"",B20/C20-1)</f>
        <v/>
      </c>
      <c r="F20" s="4" t="n">
        <v>8</v>
      </c>
      <c r="G20" s="4" t="n">
        <v>12</v>
      </c>
    </row>
    <row r="21">
      <c r="A21" t="inlineStr">
        <is>
          <t>Amlodipin 5 mg</t>
        </is>
      </c>
      <c r="B21" s="4" t="n">
        <v>888</v>
      </c>
      <c r="C21" s="4" t="n">
        <v>1110</v>
      </c>
      <c r="D21" s="4">
        <f>B21-C21</f>
        <v/>
      </c>
      <c r="E21" s="5">
        <f>IF(C21=0,"",B21/C21-1)</f>
        <v/>
      </c>
      <c r="F21" s="4" t="n">
        <v>12</v>
      </c>
      <c r="G21" s="4" t="n">
        <v>15</v>
      </c>
    </row>
    <row r="22">
      <c r="A22" t="inlineStr">
        <is>
          <t>Atorvastatin 20 mg</t>
        </is>
      </c>
      <c r="B22" s="4" t="n">
        <v>745</v>
      </c>
      <c r="C22" s="4" t="n">
        <v>1043</v>
      </c>
      <c r="D22" s="4">
        <f>B22-C22</f>
        <v/>
      </c>
      <c r="E22" s="5">
        <f>IF(C22=0,"",B22/C22-1)</f>
        <v/>
      </c>
      <c r="F22" s="4" t="n">
        <v>5</v>
      </c>
      <c r="G22" s="4" t="n">
        <v>7</v>
      </c>
    </row>
    <row r="23">
      <c r="A23" t="inlineStr">
        <is>
          <t>Metformin 500 mg</t>
        </is>
      </c>
      <c r="B23" s="4" t="n">
        <v>736</v>
      </c>
      <c r="C23" s="4" t="n">
        <v>920</v>
      </c>
      <c r="D23" s="4">
        <f>B23-C23</f>
        <v/>
      </c>
      <c r="E23" s="5">
        <f>IF(C23=0,"",B23/C23-1)</f>
        <v/>
      </c>
      <c r="F23" s="4" t="n">
        <v>8</v>
      </c>
      <c r="G23" s="4" t="n">
        <v>10</v>
      </c>
    </row>
    <row r="24">
      <c r="A24" t="inlineStr">
        <is>
          <t>Ibuprofen 400 mg</t>
        </is>
      </c>
      <c r="B24" s="4" t="n">
        <v>268</v>
      </c>
      <c r="C24" s="4" t="n">
        <v>469</v>
      </c>
      <c r="D24" s="4">
        <f>B24-C24</f>
        <v/>
      </c>
      <c r="E24" s="5">
        <f>IF(C24=0,"",B24/C24-1)</f>
        <v/>
      </c>
      <c r="F24" s="4" t="n">
        <v>4</v>
      </c>
      <c r="G24" s="4" t="n">
        <v>7</v>
      </c>
    </row>
    <row r="25">
      <c r="A25" s="6" t="inlineStr">
        <is>
          <t>Celkem</t>
        </is>
      </c>
      <c r="B25" s="7">
        <f>SUM(B15:B24)</f>
        <v/>
      </c>
      <c r="C25" s="7">
        <f>SUM(C15:C24)</f>
        <v/>
      </c>
      <c r="D25" s="7">
        <f>SUM(D15:D24)</f>
        <v/>
      </c>
      <c r="E25" s="8">
        <f>IF(C25=0,"",B25/C25-1)</f>
        <v/>
      </c>
      <c r="F25" s="7">
        <f>SUM(F15:F24)</f>
        <v/>
      </c>
      <c r="G25" s="7">
        <f>SUM(G15:G24)</f>
        <v/>
      </c>
    </row>
    <row r="28">
      <c r="A28" s="2" t="inlineStr">
        <is>
          <t>Podle kraje</t>
        </is>
      </c>
    </row>
    <row r="29">
      <c r="A29" s="3" t="inlineStr">
        <is>
          <t>Kraj</t>
        </is>
      </c>
      <c r="B29" s="3" t="inlineStr">
        <is>
          <t>Tržby prosinec 2026</t>
        </is>
      </c>
      <c r="C29" s="3" t="inlineStr">
        <is>
          <t>Tržby listopad 2026</t>
        </is>
      </c>
      <c r="D29" s="3" t="inlineStr">
        <is>
          <t>Rozdíl (Kč)</t>
        </is>
      </c>
      <c r="E29" s="3" t="inlineStr">
        <is>
          <t>Změna %</t>
        </is>
      </c>
      <c r="F29" s="3" t="inlineStr">
        <is>
          <t>Balení prosinec 2026</t>
        </is>
      </c>
      <c r="G29" s="3" t="inlineStr">
        <is>
          <t>Balení listopad 2026</t>
        </is>
      </c>
    </row>
    <row r="30">
      <c r="A30" t="inlineStr">
        <is>
          <t>Praha</t>
        </is>
      </c>
      <c r="B30" s="4" t="n">
        <v>2862</v>
      </c>
      <c r="C30" s="4" t="n">
        <v>2791</v>
      </c>
      <c r="D30" s="4">
        <f>B30-C30</f>
        <v/>
      </c>
      <c r="E30" s="5">
        <f>IF(C30=0,"",B30/C30-1)</f>
        <v/>
      </c>
      <c r="F30" s="4" t="n">
        <v>23</v>
      </c>
      <c r="G30" s="4" t="n">
        <v>26</v>
      </c>
    </row>
    <row r="31">
      <c r="A31" t="inlineStr">
        <is>
          <t>Jihomoravský</t>
        </is>
      </c>
      <c r="B31" s="4" t="n">
        <v>2697</v>
      </c>
      <c r="C31" s="4" t="n">
        <v>3311</v>
      </c>
      <c r="D31" s="4">
        <f>B31-C31</f>
        <v/>
      </c>
      <c r="E31" s="5">
        <f>IF(C31=0,"",B31/C31-1)</f>
        <v/>
      </c>
      <c r="F31" s="4" t="n">
        <v>20</v>
      </c>
      <c r="G31" s="4" t="n">
        <v>24</v>
      </c>
    </row>
    <row r="32">
      <c r="A32" t="inlineStr">
        <is>
          <t>Středočeský</t>
        </is>
      </c>
      <c r="B32" s="4" t="n">
        <v>2566</v>
      </c>
      <c r="C32" s="4" t="n">
        <v>2580</v>
      </c>
      <c r="D32" s="4">
        <f>B32-C32</f>
        <v/>
      </c>
      <c r="E32" s="5">
        <f>IF(C32=0,"",B32/C32-1)</f>
        <v/>
      </c>
      <c r="F32" s="4" t="n">
        <v>22</v>
      </c>
      <c r="G32" s="4" t="n">
        <v>22</v>
      </c>
    </row>
    <row r="33">
      <c r="A33" t="inlineStr">
        <is>
          <t>Olomoucký</t>
        </is>
      </c>
      <c r="B33" s="4" t="n">
        <v>1029</v>
      </c>
      <c r="C33" s="4" t="n">
        <v>1659</v>
      </c>
      <c r="D33" s="4">
        <f>B33-C33</f>
        <v/>
      </c>
      <c r="E33" s="5">
        <f>IF(C33=0,"",B33/C33-1)</f>
        <v/>
      </c>
      <c r="F33" s="4" t="n">
        <v>10</v>
      </c>
      <c r="G33" s="4" t="n">
        <v>15</v>
      </c>
    </row>
    <row r="34">
      <c r="A34" t="inlineStr">
        <is>
          <t>Plzeňský</t>
        </is>
      </c>
      <c r="B34" s="4" t="n">
        <v>954</v>
      </c>
      <c r="C34" s="4" t="n">
        <v>1103</v>
      </c>
      <c r="D34" s="4">
        <f>B34-C34</f>
        <v/>
      </c>
      <c r="E34" s="5">
        <f>IF(C34=0,"",B34/C34-1)</f>
        <v/>
      </c>
      <c r="F34" s="4" t="n">
        <v>9</v>
      </c>
      <c r="G34" s="4" t="n">
        <v>10</v>
      </c>
    </row>
    <row r="35">
      <c r="A35" t="inlineStr">
        <is>
          <t>Moravskoslezský</t>
        </is>
      </c>
      <c r="B35" s="4" t="n">
        <v>697</v>
      </c>
      <c r="C35" s="4" t="n">
        <v>615</v>
      </c>
      <c r="D35" s="4">
        <f>B35-C35</f>
        <v/>
      </c>
      <c r="E35" s="5">
        <f>IF(C35=0,"",B35/C35-1)</f>
        <v/>
      </c>
      <c r="F35" s="4" t="n">
        <v>5</v>
      </c>
      <c r="G35" s="4" t="n">
        <v>6</v>
      </c>
    </row>
    <row r="36">
      <c r="A36" s="6" t="inlineStr">
        <is>
          <t>Celkem</t>
        </is>
      </c>
      <c r="B36" s="7">
        <f>SUM(B30:B35)</f>
        <v/>
      </c>
      <c r="C36" s="7">
        <f>SUM(C30:C35)</f>
        <v/>
      </c>
      <c r="D36" s="7">
        <f>SUM(D30:D35)</f>
        <v/>
      </c>
      <c r="E36" s="8">
        <f>IF(C36=0,"",B36/C36-1)</f>
        <v/>
      </c>
      <c r="F36" s="7">
        <f>SUM(F30:F35)</f>
        <v/>
      </c>
      <c r="G36" s="7">
        <f>SUM(G30:G35)</f>
        <v/>
      </c>
    </row>
  </sheetData>
  <conditionalFormatting sqref="E6:E10">
    <cfRule type="cellIs" priority="1" operator="lessThan" dxfId="0">
      <formula>-0.2</formula>
    </cfRule>
    <cfRule type="cellIs" priority="2" operator="greaterThan" dxfId="1">
      <formula>0.2</formula>
    </cfRule>
  </conditionalFormatting>
  <conditionalFormatting sqref="E15:E24">
    <cfRule type="cellIs" priority="3" operator="lessThan" dxfId="0">
      <formula>-0.2</formula>
    </cfRule>
    <cfRule type="cellIs" priority="4" operator="greaterThan" dxfId="1">
      <formula>0.2</formula>
    </cfRule>
  </conditionalFormatting>
  <conditionalFormatting sqref="E30:E35">
    <cfRule type="cellIs" priority="5" operator="lessThan" dxfId="0">
      <formula>-0.2</formula>
    </cfRule>
    <cfRule type="cellIs" priority="6" operator="greaterThan" dxfId="1">
      <formula>0.2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Grafy – prosinec 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9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3" t="inlineStr">
        <is>
          <t>Měsíc</t>
        </is>
      </c>
      <c r="B1" s="3" t="inlineStr">
        <is>
          <t>ID pacienta</t>
        </is>
      </c>
      <c r="C1" s="3" t="inlineStr">
        <is>
          <t>Kraj</t>
        </is>
      </c>
      <c r="D1" s="3" t="inlineStr">
        <is>
          <t>ID léku</t>
        </is>
      </c>
      <c r="E1" s="3" t="inlineStr">
        <is>
          <t>Název</t>
        </is>
      </c>
      <c r="F1" s="3" t="inlineStr">
        <is>
          <t>Počet balení</t>
        </is>
      </c>
      <c r="G1" s="3" t="inlineStr">
        <is>
          <t>Cena za balení (Kč)</t>
        </is>
      </c>
      <c r="H1" s="3" t="inlineStr">
        <is>
          <t>Tržby (Kč)</t>
        </is>
      </c>
    </row>
    <row r="2">
      <c r="A2" s="10" t="n">
        <v>46357</v>
      </c>
      <c r="B2" t="inlineStr">
        <is>
          <t>P0001</t>
        </is>
      </c>
      <c r="C2" t="inlineStr">
        <is>
          <t>Středočeský</t>
        </is>
      </c>
      <c r="D2" t="inlineStr">
        <is>
          <t>L01</t>
        </is>
      </c>
      <c r="E2" t="inlineStr">
        <is>
          <t>Metformin 500 mg</t>
        </is>
      </c>
      <c r="F2" t="n">
        <v>1</v>
      </c>
      <c r="G2" t="n">
        <v>92</v>
      </c>
      <c r="H2" t="n">
        <v>92</v>
      </c>
    </row>
    <row r="3">
      <c r="A3" s="10" t="n">
        <v>46357</v>
      </c>
      <c r="B3" t="inlineStr">
        <is>
          <t>P0002</t>
        </is>
      </c>
      <c r="C3" t="inlineStr">
        <is>
          <t>Olomoucký</t>
        </is>
      </c>
      <c r="D3" t="inlineStr">
        <is>
          <t>L09</t>
        </is>
      </c>
      <c r="E3" t="inlineStr">
        <is>
          <t>Amoxicilin 500 mg</t>
        </is>
      </c>
      <c r="F3" t="n">
        <v>1</v>
      </c>
      <c r="G3" t="n">
        <v>124</v>
      </c>
      <c r="H3" t="n">
        <v>124</v>
      </c>
    </row>
    <row r="4">
      <c r="A4" s="10" t="n">
        <v>46357</v>
      </c>
      <c r="B4" t="inlineStr">
        <is>
          <t>P0003</t>
        </is>
      </c>
      <c r="C4" t="inlineStr">
        <is>
          <t>Praha</t>
        </is>
      </c>
      <c r="D4" t="inlineStr">
        <is>
          <t>L06</t>
        </is>
      </c>
      <c r="E4" t="inlineStr">
        <is>
          <t>Omeprazol 20 mg</t>
        </is>
      </c>
      <c r="F4" t="n">
        <v>1</v>
      </c>
      <c r="G4" t="n">
        <v>139</v>
      </c>
      <c r="H4" t="n">
        <v>139</v>
      </c>
    </row>
    <row r="5">
      <c r="A5" s="10" t="n">
        <v>46357</v>
      </c>
      <c r="B5" t="inlineStr">
        <is>
          <t>P0003</t>
        </is>
      </c>
      <c r="C5" t="inlineStr">
        <is>
          <t>Praha</t>
        </is>
      </c>
      <c r="D5" t="inlineStr">
        <is>
          <t>L09</t>
        </is>
      </c>
      <c r="E5" t="inlineStr">
        <is>
          <t>Amoxicilin 500 mg</t>
        </is>
      </c>
      <c r="F5" t="n">
        <v>1</v>
      </c>
      <c r="G5" t="n">
        <v>124</v>
      </c>
      <c r="H5" t="n">
        <v>124</v>
      </c>
    </row>
    <row r="6">
      <c r="A6" s="10" t="n">
        <v>46357</v>
      </c>
      <c r="B6" t="inlineStr">
        <is>
          <t>P0004</t>
        </is>
      </c>
      <c r="C6" t="inlineStr">
        <is>
          <t>Jihomoravský</t>
        </is>
      </c>
      <c r="D6" t="inlineStr">
        <is>
          <t>L04</t>
        </is>
      </c>
      <c r="E6" t="inlineStr">
        <is>
          <t>Ramipril 5 mg</t>
        </is>
      </c>
      <c r="F6" t="n">
        <v>1</v>
      </c>
      <c r="G6" t="n">
        <v>101</v>
      </c>
      <c r="H6" t="n">
        <v>101</v>
      </c>
    </row>
    <row r="7">
      <c r="A7" s="10" t="n">
        <v>46357</v>
      </c>
      <c r="B7" t="inlineStr">
        <is>
          <t>P0005</t>
        </is>
      </c>
      <c r="C7" t="inlineStr">
        <is>
          <t>Středočeský</t>
        </is>
      </c>
      <c r="D7" t="inlineStr">
        <is>
          <t>L09</t>
        </is>
      </c>
      <c r="E7" t="inlineStr">
        <is>
          <t>Amoxicilin 500 mg</t>
        </is>
      </c>
      <c r="F7" t="n">
        <v>1</v>
      </c>
      <c r="G7" t="n">
        <v>124</v>
      </c>
      <c r="H7" t="n">
        <v>124</v>
      </c>
    </row>
    <row r="8">
      <c r="A8" s="10" t="n">
        <v>46357</v>
      </c>
      <c r="B8" t="inlineStr">
        <is>
          <t>P0006</t>
        </is>
      </c>
      <c r="C8" t="inlineStr">
        <is>
          <t>Jihomoravský</t>
        </is>
      </c>
      <c r="D8" t="inlineStr">
        <is>
          <t>L03</t>
        </is>
      </c>
      <c r="E8" t="inlineStr">
        <is>
          <t>Amlodipin 5 mg</t>
        </is>
      </c>
      <c r="F8" t="n">
        <v>1</v>
      </c>
      <c r="G8" t="n">
        <v>74</v>
      </c>
      <c r="H8" t="n">
        <v>74</v>
      </c>
    </row>
    <row r="9">
      <c r="A9" s="10" t="n">
        <v>46357</v>
      </c>
      <c r="B9" t="inlineStr">
        <is>
          <t>P0008</t>
        </is>
      </c>
      <c r="C9" t="inlineStr">
        <is>
          <t>Jihomoravský</t>
        </is>
      </c>
      <c r="D9" t="inlineStr">
        <is>
          <t>L08</t>
        </is>
      </c>
      <c r="E9" t="inlineStr">
        <is>
          <t>Salbutamol inhalátor</t>
        </is>
      </c>
      <c r="F9" t="n">
        <v>1</v>
      </c>
      <c r="G9" t="n">
        <v>170</v>
      </c>
      <c r="H9" t="n">
        <v>170</v>
      </c>
    </row>
    <row r="10">
      <c r="A10" s="10" t="n">
        <v>46357</v>
      </c>
      <c r="B10" t="inlineStr">
        <is>
          <t>P0009</t>
        </is>
      </c>
      <c r="C10" t="inlineStr">
        <is>
          <t>Praha</t>
        </is>
      </c>
      <c r="D10" t="inlineStr">
        <is>
          <t>L08</t>
        </is>
      </c>
      <c r="E10" t="inlineStr">
        <is>
          <t>Salbutamol inhalátor</t>
        </is>
      </c>
      <c r="F10" t="n">
        <v>1</v>
      </c>
      <c r="G10" t="n">
        <v>170</v>
      </c>
      <c r="H10" t="n">
        <v>170</v>
      </c>
    </row>
    <row r="11">
      <c r="A11" s="10" t="n">
        <v>46357</v>
      </c>
      <c r="B11" t="inlineStr">
        <is>
          <t>P0009</t>
        </is>
      </c>
      <c r="C11" t="inlineStr">
        <is>
          <t>Praha</t>
        </is>
      </c>
      <c r="D11" t="inlineStr">
        <is>
          <t>L09</t>
        </is>
      </c>
      <c r="E11" t="inlineStr">
        <is>
          <t>Amoxicilin 500 mg</t>
        </is>
      </c>
      <c r="F11" t="n">
        <v>1</v>
      </c>
      <c r="G11" t="n">
        <v>124</v>
      </c>
      <c r="H11" t="n">
        <v>124</v>
      </c>
    </row>
    <row r="12">
      <c r="A12" s="10" t="n">
        <v>46357</v>
      </c>
      <c r="B12" t="inlineStr">
        <is>
          <t>P0011</t>
        </is>
      </c>
      <c r="C12" t="inlineStr">
        <is>
          <t>Olomoucký</t>
        </is>
      </c>
      <c r="D12" t="inlineStr">
        <is>
          <t>L03</t>
        </is>
      </c>
      <c r="E12" t="inlineStr">
        <is>
          <t>Amlodipin 5 mg</t>
        </is>
      </c>
      <c r="F12" t="n">
        <v>1</v>
      </c>
      <c r="G12" t="n">
        <v>74</v>
      </c>
      <c r="H12" t="n">
        <v>74</v>
      </c>
    </row>
    <row r="13">
      <c r="A13" s="10" t="n">
        <v>46357</v>
      </c>
      <c r="B13" t="inlineStr">
        <is>
          <t>P0012</t>
        </is>
      </c>
      <c r="C13" t="inlineStr">
        <is>
          <t>Moravskoslezský</t>
        </is>
      </c>
      <c r="D13" t="inlineStr">
        <is>
          <t>L07</t>
        </is>
      </c>
      <c r="E13" t="inlineStr">
        <is>
          <t>Sertralin 50 mg</t>
        </is>
      </c>
      <c r="F13" t="n">
        <v>1</v>
      </c>
      <c r="G13" t="n">
        <v>216</v>
      </c>
      <c r="H13" t="n">
        <v>216</v>
      </c>
    </row>
    <row r="14">
      <c r="A14" s="10" t="n">
        <v>46357</v>
      </c>
      <c r="B14" t="inlineStr">
        <is>
          <t>P0014</t>
        </is>
      </c>
      <c r="C14" t="inlineStr">
        <is>
          <t>Moravskoslezský</t>
        </is>
      </c>
      <c r="D14" t="inlineStr">
        <is>
          <t>L04</t>
        </is>
      </c>
      <c r="E14" t="inlineStr">
        <is>
          <t>Ramipril 5 mg</t>
        </is>
      </c>
      <c r="F14" t="n">
        <v>1</v>
      </c>
      <c r="G14" t="n">
        <v>101</v>
      </c>
      <c r="H14" t="n">
        <v>101</v>
      </c>
    </row>
    <row r="15">
      <c r="A15" s="10" t="n">
        <v>46357</v>
      </c>
      <c r="B15" t="inlineStr">
        <is>
          <t>P0015</t>
        </is>
      </c>
      <c r="C15" t="inlineStr">
        <is>
          <t>Jihomoravský</t>
        </is>
      </c>
      <c r="D15" t="inlineStr">
        <is>
          <t>L01</t>
        </is>
      </c>
      <c r="E15" t="inlineStr">
        <is>
          <t>Metformin 500 mg</t>
        </is>
      </c>
      <c r="F15" t="n">
        <v>1</v>
      </c>
      <c r="G15" t="n">
        <v>92</v>
      </c>
      <c r="H15" t="n">
        <v>92</v>
      </c>
    </row>
    <row r="16">
      <c r="A16" s="10" t="n">
        <v>46357</v>
      </c>
      <c r="B16" t="inlineStr">
        <is>
          <t>P0015</t>
        </is>
      </c>
      <c r="C16" t="inlineStr">
        <is>
          <t>Jihomoravský</t>
        </is>
      </c>
      <c r="D16" t="inlineStr">
        <is>
          <t>L07</t>
        </is>
      </c>
      <c r="E16" t="inlineStr">
        <is>
          <t>Sertralin 50 mg</t>
        </is>
      </c>
      <c r="F16" t="n">
        <v>1</v>
      </c>
      <c r="G16" t="n">
        <v>216</v>
      </c>
      <c r="H16" t="n">
        <v>216</v>
      </c>
    </row>
    <row r="17">
      <c r="A17" s="10" t="n">
        <v>46357</v>
      </c>
      <c r="B17" t="inlineStr">
        <is>
          <t>P0016</t>
        </is>
      </c>
      <c r="C17" t="inlineStr">
        <is>
          <t>Středočeský</t>
        </is>
      </c>
      <c r="D17" t="inlineStr">
        <is>
          <t>L05</t>
        </is>
      </c>
      <c r="E17" t="inlineStr">
        <is>
          <t>Levothyroxin 50 µg</t>
        </is>
      </c>
      <c r="F17" t="n">
        <v>2</v>
      </c>
      <c r="G17" t="n">
        <v>122</v>
      </c>
      <c r="H17" t="n">
        <v>244</v>
      </c>
    </row>
    <row r="18">
      <c r="A18" s="10" t="n">
        <v>46357</v>
      </c>
      <c r="B18" t="inlineStr">
        <is>
          <t>P0017</t>
        </is>
      </c>
      <c r="C18" t="inlineStr">
        <is>
          <t>Plzeňský</t>
        </is>
      </c>
      <c r="D18" t="inlineStr">
        <is>
          <t>L01</t>
        </is>
      </c>
      <c r="E18" t="inlineStr">
        <is>
          <t>Metformin 500 mg</t>
        </is>
      </c>
      <c r="F18" t="n">
        <v>1</v>
      </c>
      <c r="G18" t="n">
        <v>92</v>
      </c>
      <c r="H18" t="n">
        <v>92</v>
      </c>
    </row>
    <row r="19">
      <c r="A19" s="10" t="n">
        <v>46357</v>
      </c>
      <c r="B19" t="inlineStr">
        <is>
          <t>P0017</t>
        </is>
      </c>
      <c r="C19" t="inlineStr">
        <is>
          <t>Plzeňský</t>
        </is>
      </c>
      <c r="D19" t="inlineStr">
        <is>
          <t>L04</t>
        </is>
      </c>
      <c r="E19" t="inlineStr">
        <is>
          <t>Ramipril 5 mg</t>
        </is>
      </c>
      <c r="F19" t="n">
        <v>1</v>
      </c>
      <c r="G19" t="n">
        <v>101</v>
      </c>
      <c r="H19" t="n">
        <v>101</v>
      </c>
    </row>
    <row r="20">
      <c r="A20" s="10" t="n">
        <v>46357</v>
      </c>
      <c r="B20" t="inlineStr">
        <is>
          <t>P0017</t>
        </is>
      </c>
      <c r="C20" t="inlineStr">
        <is>
          <t>Plzeňský</t>
        </is>
      </c>
      <c r="D20" t="inlineStr">
        <is>
          <t>L06</t>
        </is>
      </c>
      <c r="E20" t="inlineStr">
        <is>
          <t>Omeprazol 20 mg</t>
        </is>
      </c>
      <c r="F20" t="n">
        <v>1</v>
      </c>
      <c r="G20" t="n">
        <v>139</v>
      </c>
      <c r="H20" t="n">
        <v>139</v>
      </c>
    </row>
    <row r="21">
      <c r="A21" s="10" t="n">
        <v>46357</v>
      </c>
      <c r="B21" t="inlineStr">
        <is>
          <t>P0018</t>
        </is>
      </c>
      <c r="C21" t="inlineStr">
        <is>
          <t>Praha</t>
        </is>
      </c>
      <c r="D21" t="inlineStr">
        <is>
          <t>L03</t>
        </is>
      </c>
      <c r="E21" t="inlineStr">
        <is>
          <t>Amlodipin 5 mg</t>
        </is>
      </c>
      <c r="F21" t="n">
        <v>1</v>
      </c>
      <c r="G21" t="n">
        <v>74</v>
      </c>
      <c r="H21" t="n">
        <v>74</v>
      </c>
    </row>
    <row r="22">
      <c r="A22" s="10" t="n">
        <v>46357</v>
      </c>
      <c r="B22" t="inlineStr">
        <is>
          <t>P0018</t>
        </is>
      </c>
      <c r="C22" t="inlineStr">
        <is>
          <t>Praha</t>
        </is>
      </c>
      <c r="D22" t="inlineStr">
        <is>
          <t>L07</t>
        </is>
      </c>
      <c r="E22" t="inlineStr">
        <is>
          <t>Sertralin 50 mg</t>
        </is>
      </c>
      <c r="F22" t="n">
        <v>1</v>
      </c>
      <c r="G22" t="n">
        <v>216</v>
      </c>
      <c r="H22" t="n">
        <v>216</v>
      </c>
    </row>
    <row r="23">
      <c r="A23" s="10" t="n">
        <v>46357</v>
      </c>
      <c r="B23" t="inlineStr">
        <is>
          <t>P0019</t>
        </is>
      </c>
      <c r="C23" t="inlineStr">
        <is>
          <t>Plzeňský</t>
        </is>
      </c>
      <c r="D23" t="inlineStr">
        <is>
          <t>L04</t>
        </is>
      </c>
      <c r="E23" t="inlineStr">
        <is>
          <t>Ramipril 5 mg</t>
        </is>
      </c>
      <c r="F23" t="n">
        <v>1</v>
      </c>
      <c r="G23" t="n">
        <v>101</v>
      </c>
      <c r="H23" t="n">
        <v>101</v>
      </c>
    </row>
    <row r="24">
      <c r="A24" s="10" t="n">
        <v>46357</v>
      </c>
      <c r="B24" t="inlineStr">
        <is>
          <t>P0019</t>
        </is>
      </c>
      <c r="C24" t="inlineStr">
        <is>
          <t>Plzeňský</t>
        </is>
      </c>
      <c r="D24" t="inlineStr">
        <is>
          <t>L10</t>
        </is>
      </c>
      <c r="E24" t="inlineStr">
        <is>
          <t>Ibuprofen 400 mg</t>
        </is>
      </c>
      <c r="F24" t="n">
        <v>1</v>
      </c>
      <c r="G24" t="n">
        <v>67</v>
      </c>
      <c r="H24" t="n">
        <v>67</v>
      </c>
    </row>
    <row r="25">
      <c r="A25" s="10" t="n">
        <v>46357</v>
      </c>
      <c r="B25" t="inlineStr">
        <is>
          <t>P0021</t>
        </is>
      </c>
      <c r="C25" t="inlineStr">
        <is>
          <t>Plzeňský</t>
        </is>
      </c>
      <c r="D25" t="inlineStr">
        <is>
          <t>L01</t>
        </is>
      </c>
      <c r="E25" t="inlineStr">
        <is>
          <t>Metformin 500 mg</t>
        </is>
      </c>
      <c r="F25" t="n">
        <v>1</v>
      </c>
      <c r="G25" t="n">
        <v>92</v>
      </c>
      <c r="H25" t="n">
        <v>92</v>
      </c>
    </row>
    <row r="26">
      <c r="A26" s="10" t="n">
        <v>46357</v>
      </c>
      <c r="B26" t="inlineStr">
        <is>
          <t>P0022</t>
        </is>
      </c>
      <c r="C26" t="inlineStr">
        <is>
          <t>Jihomoravský</t>
        </is>
      </c>
      <c r="D26" t="inlineStr">
        <is>
          <t>L07</t>
        </is>
      </c>
      <c r="E26" t="inlineStr">
        <is>
          <t>Sertralin 50 mg</t>
        </is>
      </c>
      <c r="F26" t="n">
        <v>1</v>
      </c>
      <c r="G26" t="n">
        <v>216</v>
      </c>
      <c r="H26" t="n">
        <v>216</v>
      </c>
    </row>
    <row r="27">
      <c r="A27" s="10" t="n">
        <v>46357</v>
      </c>
      <c r="B27" t="inlineStr">
        <is>
          <t>P0023</t>
        </is>
      </c>
      <c r="C27" t="inlineStr">
        <is>
          <t>Středočeský</t>
        </is>
      </c>
      <c r="D27" t="inlineStr">
        <is>
          <t>L03</t>
        </is>
      </c>
      <c r="E27" t="inlineStr">
        <is>
          <t>Amlodipin 5 mg</t>
        </is>
      </c>
      <c r="F27" t="n">
        <v>1</v>
      </c>
      <c r="G27" t="n">
        <v>74</v>
      </c>
      <c r="H27" t="n">
        <v>74</v>
      </c>
    </row>
    <row r="28">
      <c r="A28" s="10" t="n">
        <v>46357</v>
      </c>
      <c r="B28" t="inlineStr">
        <is>
          <t>P0023</t>
        </is>
      </c>
      <c r="C28" t="inlineStr">
        <is>
          <t>Středočeský</t>
        </is>
      </c>
      <c r="D28" t="inlineStr">
        <is>
          <t>L05</t>
        </is>
      </c>
      <c r="E28" t="inlineStr">
        <is>
          <t>Levothyroxin 50 µg</t>
        </is>
      </c>
      <c r="F28" t="n">
        <v>1</v>
      </c>
      <c r="G28" t="n">
        <v>122</v>
      </c>
      <c r="H28" t="n">
        <v>122</v>
      </c>
    </row>
    <row r="29">
      <c r="A29" s="10" t="n">
        <v>46357</v>
      </c>
      <c r="B29" t="inlineStr">
        <is>
          <t>P0023</t>
        </is>
      </c>
      <c r="C29" t="inlineStr">
        <is>
          <t>Středočeský</t>
        </is>
      </c>
      <c r="D29" t="inlineStr">
        <is>
          <t>L06</t>
        </is>
      </c>
      <c r="E29" t="inlineStr">
        <is>
          <t>Omeprazol 20 mg</t>
        </is>
      </c>
      <c r="F29" t="n">
        <v>1</v>
      </c>
      <c r="G29" t="n">
        <v>139</v>
      </c>
      <c r="H29" t="n">
        <v>139</v>
      </c>
    </row>
    <row r="30">
      <c r="A30" s="10" t="n">
        <v>46357</v>
      </c>
      <c r="B30" t="inlineStr">
        <is>
          <t>P0024</t>
        </is>
      </c>
      <c r="C30" t="inlineStr">
        <is>
          <t>Jihomoravský</t>
        </is>
      </c>
      <c r="D30" t="inlineStr">
        <is>
          <t>L08</t>
        </is>
      </c>
      <c r="E30" t="inlineStr">
        <is>
          <t>Salbutamol inhalátor</t>
        </is>
      </c>
      <c r="F30" t="n">
        <v>1</v>
      </c>
      <c r="G30" t="n">
        <v>170</v>
      </c>
      <c r="H30" t="n">
        <v>170</v>
      </c>
    </row>
    <row r="31">
      <c r="A31" s="10" t="n">
        <v>46357</v>
      </c>
      <c r="B31" t="inlineStr">
        <is>
          <t>P0025</t>
        </is>
      </c>
      <c r="C31" t="inlineStr">
        <is>
          <t>Olomoucký</t>
        </is>
      </c>
      <c r="D31" t="inlineStr">
        <is>
          <t>L03</t>
        </is>
      </c>
      <c r="E31" t="inlineStr">
        <is>
          <t>Amlodipin 5 mg</t>
        </is>
      </c>
      <c r="F31" t="n">
        <v>1</v>
      </c>
      <c r="G31" t="n">
        <v>74</v>
      </c>
      <c r="H31" t="n">
        <v>74</v>
      </c>
    </row>
    <row r="32">
      <c r="A32" s="10" t="n">
        <v>46357</v>
      </c>
      <c r="B32" t="inlineStr">
        <is>
          <t>P0026</t>
        </is>
      </c>
      <c r="C32" t="inlineStr">
        <is>
          <t>Jihomoravský</t>
        </is>
      </c>
      <c r="D32" t="inlineStr">
        <is>
          <t>L04</t>
        </is>
      </c>
      <c r="E32" t="inlineStr">
        <is>
          <t>Ramipril 5 mg</t>
        </is>
      </c>
      <c r="F32" t="n">
        <v>1</v>
      </c>
      <c r="G32" t="n">
        <v>101</v>
      </c>
      <c r="H32" t="n">
        <v>101</v>
      </c>
    </row>
    <row r="33">
      <c r="A33" s="10" t="n">
        <v>46357</v>
      </c>
      <c r="B33" t="inlineStr">
        <is>
          <t>P0026</t>
        </is>
      </c>
      <c r="C33" t="inlineStr">
        <is>
          <t>Jihomoravský</t>
        </is>
      </c>
      <c r="D33" t="inlineStr">
        <is>
          <t>L08</t>
        </is>
      </c>
      <c r="E33" t="inlineStr">
        <is>
          <t>Salbutamol inhalátor</t>
        </is>
      </c>
      <c r="F33" t="n">
        <v>1</v>
      </c>
      <c r="G33" t="n">
        <v>170</v>
      </c>
      <c r="H33" t="n">
        <v>170</v>
      </c>
    </row>
    <row r="34">
      <c r="A34" s="10" t="n">
        <v>46357</v>
      </c>
      <c r="B34" t="inlineStr">
        <is>
          <t>P0027</t>
        </is>
      </c>
      <c r="C34" t="inlineStr">
        <is>
          <t>Jihomoravský</t>
        </is>
      </c>
      <c r="D34" t="inlineStr">
        <is>
          <t>L03</t>
        </is>
      </c>
      <c r="E34" t="inlineStr">
        <is>
          <t>Amlodipin 5 mg</t>
        </is>
      </c>
      <c r="F34" t="n">
        <v>1</v>
      </c>
      <c r="G34" t="n">
        <v>74</v>
      </c>
      <c r="H34" t="n">
        <v>74</v>
      </c>
    </row>
    <row r="35">
      <c r="A35" s="10" t="n">
        <v>46357</v>
      </c>
      <c r="B35" t="inlineStr">
        <is>
          <t>P0030</t>
        </is>
      </c>
      <c r="C35" t="inlineStr">
        <is>
          <t>Jihomoravský</t>
        </is>
      </c>
      <c r="D35" t="inlineStr">
        <is>
          <t>L02</t>
        </is>
      </c>
      <c r="E35" t="inlineStr">
        <is>
          <t>Atorvastatin 20 mg</t>
        </is>
      </c>
      <c r="F35" t="n">
        <v>1</v>
      </c>
      <c r="G35" t="n">
        <v>149</v>
      </c>
      <c r="H35" t="n">
        <v>149</v>
      </c>
    </row>
    <row r="36">
      <c r="A36" s="10" t="n">
        <v>46357</v>
      </c>
      <c r="B36" t="inlineStr">
        <is>
          <t>P0030</t>
        </is>
      </c>
      <c r="C36" t="inlineStr">
        <is>
          <t>Jihomoravský</t>
        </is>
      </c>
      <c r="D36" t="inlineStr">
        <is>
          <t>L05</t>
        </is>
      </c>
      <c r="E36" t="inlineStr">
        <is>
          <t>Levothyroxin 50 µg</t>
        </is>
      </c>
      <c r="F36" t="n">
        <v>1</v>
      </c>
      <c r="G36" t="n">
        <v>122</v>
      </c>
      <c r="H36" t="n">
        <v>122</v>
      </c>
    </row>
    <row r="37">
      <c r="A37" s="10" t="n">
        <v>46357</v>
      </c>
      <c r="B37" t="inlineStr">
        <is>
          <t>P0031</t>
        </is>
      </c>
      <c r="C37" t="inlineStr">
        <is>
          <t>Jihomoravský</t>
        </is>
      </c>
      <c r="D37" t="inlineStr">
        <is>
          <t>L10</t>
        </is>
      </c>
      <c r="E37" t="inlineStr">
        <is>
          <t>Ibuprofen 400 mg</t>
        </is>
      </c>
      <c r="F37" t="n">
        <v>1</v>
      </c>
      <c r="G37" t="n">
        <v>67</v>
      </c>
      <c r="H37" t="n">
        <v>67</v>
      </c>
    </row>
    <row r="38">
      <c r="A38" s="10" t="n">
        <v>46357</v>
      </c>
      <c r="B38" t="inlineStr">
        <is>
          <t>P0032</t>
        </is>
      </c>
      <c r="C38" t="inlineStr">
        <is>
          <t>Praha</t>
        </is>
      </c>
      <c r="D38" t="inlineStr">
        <is>
          <t>L01</t>
        </is>
      </c>
      <c r="E38" t="inlineStr">
        <is>
          <t>Metformin 500 mg</t>
        </is>
      </c>
      <c r="F38" t="n">
        <v>1</v>
      </c>
      <c r="G38" t="n">
        <v>92</v>
      </c>
      <c r="H38" t="n">
        <v>92</v>
      </c>
    </row>
    <row r="39">
      <c r="A39" s="10" t="n">
        <v>46357</v>
      </c>
      <c r="B39" t="inlineStr">
        <is>
          <t>P0033</t>
        </is>
      </c>
      <c r="C39" t="inlineStr">
        <is>
          <t>Praha</t>
        </is>
      </c>
      <c r="D39" t="inlineStr">
        <is>
          <t>L10</t>
        </is>
      </c>
      <c r="E39" t="inlineStr">
        <is>
          <t>Ibuprofen 400 mg</t>
        </is>
      </c>
      <c r="F39" t="n">
        <v>1</v>
      </c>
      <c r="G39" t="n">
        <v>67</v>
      </c>
      <c r="H39" t="n">
        <v>67</v>
      </c>
    </row>
    <row r="40">
      <c r="A40" s="10" t="n">
        <v>46357</v>
      </c>
      <c r="B40" t="inlineStr">
        <is>
          <t>P0034</t>
        </is>
      </c>
      <c r="C40" t="inlineStr">
        <is>
          <t>Jihomoravský</t>
        </is>
      </c>
      <c r="D40" t="inlineStr">
        <is>
          <t>L03</t>
        </is>
      </c>
      <c r="E40" t="inlineStr">
        <is>
          <t>Amlodipin 5 mg</t>
        </is>
      </c>
      <c r="F40" t="n">
        <v>1</v>
      </c>
      <c r="G40" t="n">
        <v>74</v>
      </c>
      <c r="H40" t="n">
        <v>74</v>
      </c>
    </row>
    <row r="41">
      <c r="A41" s="10" t="n">
        <v>46357</v>
      </c>
      <c r="B41" t="inlineStr">
        <is>
          <t>P0035</t>
        </is>
      </c>
      <c r="C41" t="inlineStr">
        <is>
          <t>Plzeňský</t>
        </is>
      </c>
      <c r="D41" t="inlineStr">
        <is>
          <t>L04</t>
        </is>
      </c>
      <c r="E41" t="inlineStr">
        <is>
          <t>Ramipril 5 mg</t>
        </is>
      </c>
      <c r="F41" t="n">
        <v>1</v>
      </c>
      <c r="G41" t="n">
        <v>101</v>
      </c>
      <c r="H41" t="n">
        <v>101</v>
      </c>
    </row>
    <row r="42">
      <c r="A42" s="10" t="n">
        <v>46357</v>
      </c>
      <c r="B42" t="inlineStr">
        <is>
          <t>P0035</t>
        </is>
      </c>
      <c r="C42" t="inlineStr">
        <is>
          <t>Plzeňský</t>
        </is>
      </c>
      <c r="D42" t="inlineStr">
        <is>
          <t>L05</t>
        </is>
      </c>
      <c r="E42" t="inlineStr">
        <is>
          <t>Levothyroxin 50 µg</t>
        </is>
      </c>
      <c r="F42" t="n">
        <v>1</v>
      </c>
      <c r="G42" t="n">
        <v>122</v>
      </c>
      <c r="H42" t="n">
        <v>122</v>
      </c>
    </row>
    <row r="43">
      <c r="A43" s="10" t="n">
        <v>46357</v>
      </c>
      <c r="B43" t="inlineStr">
        <is>
          <t>P0036</t>
        </is>
      </c>
      <c r="C43" t="inlineStr">
        <is>
          <t>Plzeňský</t>
        </is>
      </c>
      <c r="D43" t="inlineStr">
        <is>
          <t>L06</t>
        </is>
      </c>
      <c r="E43" t="inlineStr">
        <is>
          <t>Omeprazol 20 mg</t>
        </is>
      </c>
      <c r="F43" t="n">
        <v>1</v>
      </c>
      <c r="G43" t="n">
        <v>139</v>
      </c>
      <c r="H43" t="n">
        <v>139</v>
      </c>
    </row>
    <row r="44">
      <c r="A44" s="10" t="n">
        <v>46357</v>
      </c>
      <c r="B44" t="inlineStr">
        <is>
          <t>P0037</t>
        </is>
      </c>
      <c r="C44" t="inlineStr">
        <is>
          <t>Středočeský</t>
        </is>
      </c>
      <c r="D44" t="inlineStr">
        <is>
          <t>L04</t>
        </is>
      </c>
      <c r="E44" t="inlineStr">
        <is>
          <t>Ramipril 5 mg</t>
        </is>
      </c>
      <c r="F44" t="n">
        <v>1</v>
      </c>
      <c r="G44" t="n">
        <v>101</v>
      </c>
      <c r="H44" t="n">
        <v>101</v>
      </c>
    </row>
    <row r="45">
      <c r="A45" s="10" t="n">
        <v>46357</v>
      </c>
      <c r="B45" t="inlineStr">
        <is>
          <t>P0037</t>
        </is>
      </c>
      <c r="C45" t="inlineStr">
        <is>
          <t>Středočeský</t>
        </is>
      </c>
      <c r="D45" t="inlineStr">
        <is>
          <t>L08</t>
        </is>
      </c>
      <c r="E45" t="inlineStr">
        <is>
          <t>Salbutamol inhalátor</t>
        </is>
      </c>
      <c r="F45" t="n">
        <v>1</v>
      </c>
      <c r="G45" t="n">
        <v>170</v>
      </c>
      <c r="H45" t="n">
        <v>170</v>
      </c>
    </row>
    <row r="46">
      <c r="A46" s="10" t="n">
        <v>46357</v>
      </c>
      <c r="B46" t="inlineStr">
        <is>
          <t>P0039</t>
        </is>
      </c>
      <c r="C46" t="inlineStr">
        <is>
          <t>Praha</t>
        </is>
      </c>
      <c r="D46" t="inlineStr">
        <is>
          <t>L03</t>
        </is>
      </c>
      <c r="E46" t="inlineStr">
        <is>
          <t>Amlodipin 5 mg</t>
        </is>
      </c>
      <c r="F46" t="n">
        <v>1</v>
      </c>
      <c r="G46" t="n">
        <v>74</v>
      </c>
      <c r="H46" t="n">
        <v>74</v>
      </c>
    </row>
    <row r="47">
      <c r="A47" s="10" t="n">
        <v>46357</v>
      </c>
      <c r="B47" t="inlineStr">
        <is>
          <t>P0040</t>
        </is>
      </c>
      <c r="C47" t="inlineStr">
        <is>
          <t>Středočeský</t>
        </is>
      </c>
      <c r="D47" t="inlineStr">
        <is>
          <t>L02</t>
        </is>
      </c>
      <c r="E47" t="inlineStr">
        <is>
          <t>Atorvastatin 20 mg</t>
        </is>
      </c>
      <c r="F47" t="n">
        <v>1</v>
      </c>
      <c r="G47" t="n">
        <v>149</v>
      </c>
      <c r="H47" t="n">
        <v>149</v>
      </c>
    </row>
    <row r="48">
      <c r="A48" s="10" t="n">
        <v>46357</v>
      </c>
      <c r="B48" t="inlineStr">
        <is>
          <t>P0040</t>
        </is>
      </c>
      <c r="C48" t="inlineStr">
        <is>
          <t>Středočeský</t>
        </is>
      </c>
      <c r="D48" t="inlineStr">
        <is>
          <t>L03</t>
        </is>
      </c>
      <c r="E48" t="inlineStr">
        <is>
          <t>Amlodipin 5 mg</t>
        </is>
      </c>
      <c r="F48" t="n">
        <v>1</v>
      </c>
      <c r="G48" t="n">
        <v>74</v>
      </c>
      <c r="H48" t="n">
        <v>74</v>
      </c>
    </row>
    <row r="49">
      <c r="A49" s="10" t="n">
        <v>46357</v>
      </c>
      <c r="B49" t="inlineStr">
        <is>
          <t>P0040</t>
        </is>
      </c>
      <c r="C49" t="inlineStr">
        <is>
          <t>Středočeský</t>
        </is>
      </c>
      <c r="D49" t="inlineStr">
        <is>
          <t>L09</t>
        </is>
      </c>
      <c r="E49" t="inlineStr">
        <is>
          <t>Amoxicilin 500 mg</t>
        </is>
      </c>
      <c r="F49" t="n">
        <v>1</v>
      </c>
      <c r="G49" t="n">
        <v>124</v>
      </c>
      <c r="H49" t="n">
        <v>124</v>
      </c>
    </row>
    <row r="50">
      <c r="A50" s="10" t="n">
        <v>46357</v>
      </c>
      <c r="B50" t="inlineStr">
        <is>
          <t>P0041</t>
        </is>
      </c>
      <c r="C50" t="inlineStr">
        <is>
          <t>Středočeský</t>
        </is>
      </c>
      <c r="D50" t="inlineStr">
        <is>
          <t>L02</t>
        </is>
      </c>
      <c r="E50" t="inlineStr">
        <is>
          <t>Atorvastatin 20 mg</t>
        </is>
      </c>
      <c r="F50" t="n">
        <v>1</v>
      </c>
      <c r="G50" t="n">
        <v>149</v>
      </c>
      <c r="H50" t="n">
        <v>149</v>
      </c>
    </row>
    <row r="51">
      <c r="A51" s="10" t="n">
        <v>46357</v>
      </c>
      <c r="B51" t="inlineStr">
        <is>
          <t>P0041</t>
        </is>
      </c>
      <c r="C51" t="inlineStr">
        <is>
          <t>Středočeský</t>
        </is>
      </c>
      <c r="D51" t="inlineStr">
        <is>
          <t>L04</t>
        </is>
      </c>
      <c r="E51" t="inlineStr">
        <is>
          <t>Ramipril 5 mg</t>
        </is>
      </c>
      <c r="F51" t="n">
        <v>1</v>
      </c>
      <c r="G51" t="n">
        <v>101</v>
      </c>
      <c r="H51" t="n">
        <v>101</v>
      </c>
    </row>
    <row r="52">
      <c r="A52" s="10" t="n">
        <v>46357</v>
      </c>
      <c r="B52" t="inlineStr">
        <is>
          <t>P0041</t>
        </is>
      </c>
      <c r="C52" t="inlineStr">
        <is>
          <t>Středočeský</t>
        </is>
      </c>
      <c r="D52" t="inlineStr">
        <is>
          <t>L06</t>
        </is>
      </c>
      <c r="E52" t="inlineStr">
        <is>
          <t>Omeprazol 20 mg</t>
        </is>
      </c>
      <c r="F52" t="n">
        <v>1</v>
      </c>
      <c r="G52" t="n">
        <v>139</v>
      </c>
      <c r="H52" t="n">
        <v>139</v>
      </c>
    </row>
    <row r="53">
      <c r="A53" s="10" t="n">
        <v>46357</v>
      </c>
      <c r="B53" t="inlineStr">
        <is>
          <t>P0042</t>
        </is>
      </c>
      <c r="C53" t="inlineStr">
        <is>
          <t>Praha</t>
        </is>
      </c>
      <c r="D53" t="inlineStr">
        <is>
          <t>L02</t>
        </is>
      </c>
      <c r="E53" t="inlineStr">
        <is>
          <t>Atorvastatin 20 mg</t>
        </is>
      </c>
      <c r="F53" t="n">
        <v>1</v>
      </c>
      <c r="G53" t="n">
        <v>149</v>
      </c>
      <c r="H53" t="n">
        <v>149</v>
      </c>
    </row>
    <row r="54">
      <c r="A54" s="10" t="n">
        <v>46357</v>
      </c>
      <c r="B54" t="inlineStr">
        <is>
          <t>P0042</t>
        </is>
      </c>
      <c r="C54" t="inlineStr">
        <is>
          <t>Praha</t>
        </is>
      </c>
      <c r="D54" t="inlineStr">
        <is>
          <t>L05</t>
        </is>
      </c>
      <c r="E54" t="inlineStr">
        <is>
          <t>Levothyroxin 50 µg</t>
        </is>
      </c>
      <c r="F54" t="n">
        <v>1</v>
      </c>
      <c r="G54" t="n">
        <v>122</v>
      </c>
      <c r="H54" t="n">
        <v>122</v>
      </c>
    </row>
    <row r="55">
      <c r="A55" s="10" t="n">
        <v>46357</v>
      </c>
      <c r="B55" t="inlineStr">
        <is>
          <t>P0043</t>
        </is>
      </c>
      <c r="C55" t="inlineStr">
        <is>
          <t>Praha</t>
        </is>
      </c>
      <c r="D55" t="inlineStr">
        <is>
          <t>L09</t>
        </is>
      </c>
      <c r="E55" t="inlineStr">
        <is>
          <t>Amoxicilin 500 mg</t>
        </is>
      </c>
      <c r="F55" t="n">
        <v>1</v>
      </c>
      <c r="G55" t="n">
        <v>124</v>
      </c>
      <c r="H55" t="n">
        <v>124</v>
      </c>
    </row>
    <row r="56">
      <c r="A56" s="10" t="n">
        <v>46357</v>
      </c>
      <c r="B56" t="inlineStr">
        <is>
          <t>P0044</t>
        </is>
      </c>
      <c r="C56" t="inlineStr">
        <is>
          <t>Jihomoravský</t>
        </is>
      </c>
      <c r="D56" t="inlineStr">
        <is>
          <t>L05</t>
        </is>
      </c>
      <c r="E56" t="inlineStr">
        <is>
          <t>Levothyroxin 50 µg</t>
        </is>
      </c>
      <c r="F56" t="n">
        <v>1</v>
      </c>
      <c r="G56" t="n">
        <v>122</v>
      </c>
      <c r="H56" t="n">
        <v>122</v>
      </c>
    </row>
    <row r="57">
      <c r="A57" s="10" t="n">
        <v>46357</v>
      </c>
      <c r="B57" t="inlineStr">
        <is>
          <t>P0045</t>
        </is>
      </c>
      <c r="C57" t="inlineStr">
        <is>
          <t>Středočeský</t>
        </is>
      </c>
      <c r="D57" t="inlineStr">
        <is>
          <t>L03</t>
        </is>
      </c>
      <c r="E57" t="inlineStr">
        <is>
          <t>Amlodipin 5 mg</t>
        </is>
      </c>
      <c r="F57" t="n">
        <v>1</v>
      </c>
      <c r="G57" t="n">
        <v>74</v>
      </c>
      <c r="H57" t="n">
        <v>74</v>
      </c>
    </row>
    <row r="58">
      <c r="A58" s="10" t="n">
        <v>46357</v>
      </c>
      <c r="B58" t="inlineStr">
        <is>
          <t>P0045</t>
        </is>
      </c>
      <c r="C58" t="inlineStr">
        <is>
          <t>Středočeský</t>
        </is>
      </c>
      <c r="D58" t="inlineStr">
        <is>
          <t>L05</t>
        </is>
      </c>
      <c r="E58" t="inlineStr">
        <is>
          <t>Levothyroxin 50 µg</t>
        </is>
      </c>
      <c r="F58" t="n">
        <v>2</v>
      </c>
      <c r="G58" t="n">
        <v>122</v>
      </c>
      <c r="H58" t="n">
        <v>244</v>
      </c>
    </row>
    <row r="59">
      <c r="A59" s="10" t="n">
        <v>46357</v>
      </c>
      <c r="B59" t="inlineStr">
        <is>
          <t>P0046</t>
        </is>
      </c>
      <c r="C59" t="inlineStr">
        <is>
          <t>Praha</t>
        </is>
      </c>
      <c r="D59" t="inlineStr">
        <is>
          <t>L01</t>
        </is>
      </c>
      <c r="E59" t="inlineStr">
        <is>
          <t>Metformin 500 mg</t>
        </is>
      </c>
      <c r="F59" t="n">
        <v>1</v>
      </c>
      <c r="G59" t="n">
        <v>92</v>
      </c>
      <c r="H59" t="n">
        <v>92</v>
      </c>
    </row>
    <row r="60">
      <c r="A60" s="10" t="n">
        <v>46357</v>
      </c>
      <c r="B60" t="inlineStr">
        <is>
          <t>P0046</t>
        </is>
      </c>
      <c r="C60" t="inlineStr">
        <is>
          <t>Praha</t>
        </is>
      </c>
      <c r="D60" t="inlineStr">
        <is>
          <t>L04</t>
        </is>
      </c>
      <c r="E60" t="inlineStr">
        <is>
          <t>Ramipril 5 mg</t>
        </is>
      </c>
      <c r="F60" t="n">
        <v>1</v>
      </c>
      <c r="G60" t="n">
        <v>101</v>
      </c>
      <c r="H60" t="n">
        <v>101</v>
      </c>
    </row>
    <row r="61">
      <c r="A61" s="10" t="n">
        <v>46357</v>
      </c>
      <c r="B61" t="inlineStr">
        <is>
          <t>P0046</t>
        </is>
      </c>
      <c r="C61" t="inlineStr">
        <is>
          <t>Praha</t>
        </is>
      </c>
      <c r="D61" t="inlineStr">
        <is>
          <t>L05</t>
        </is>
      </c>
      <c r="E61" t="inlineStr">
        <is>
          <t>Levothyroxin 50 µg</t>
        </is>
      </c>
      <c r="F61" t="n">
        <v>1</v>
      </c>
      <c r="G61" t="n">
        <v>122</v>
      </c>
      <c r="H61" t="n">
        <v>122</v>
      </c>
    </row>
    <row r="62">
      <c r="A62" s="10" t="n">
        <v>46357</v>
      </c>
      <c r="B62" t="inlineStr">
        <is>
          <t>P0047</t>
        </is>
      </c>
      <c r="C62" t="inlineStr">
        <is>
          <t>Moravskoslezský</t>
        </is>
      </c>
      <c r="D62" t="inlineStr">
        <is>
          <t>L02</t>
        </is>
      </c>
      <c r="E62" t="inlineStr">
        <is>
          <t>Atorvastatin 20 mg</t>
        </is>
      </c>
      <c r="F62" t="n">
        <v>1</v>
      </c>
      <c r="G62" t="n">
        <v>149</v>
      </c>
      <c r="H62" t="n">
        <v>149</v>
      </c>
    </row>
    <row r="63">
      <c r="A63" s="10" t="n">
        <v>46357</v>
      </c>
      <c r="B63" t="inlineStr">
        <is>
          <t>P0048</t>
        </is>
      </c>
      <c r="C63" t="inlineStr">
        <is>
          <t>Středočeský</t>
        </is>
      </c>
      <c r="D63" t="inlineStr">
        <is>
          <t>L06</t>
        </is>
      </c>
      <c r="E63" t="inlineStr">
        <is>
          <t>Omeprazol 20 mg</t>
        </is>
      </c>
      <c r="F63" t="n">
        <v>1</v>
      </c>
      <c r="G63" t="n">
        <v>139</v>
      </c>
      <c r="H63" t="n">
        <v>139</v>
      </c>
    </row>
    <row r="64">
      <c r="A64" s="10" t="n">
        <v>46357</v>
      </c>
      <c r="B64" t="inlineStr">
        <is>
          <t>P0048</t>
        </is>
      </c>
      <c r="C64" t="inlineStr">
        <is>
          <t>Středočeský</t>
        </is>
      </c>
      <c r="D64" t="inlineStr">
        <is>
          <t>L10</t>
        </is>
      </c>
      <c r="E64" t="inlineStr">
        <is>
          <t>Ibuprofen 400 mg</t>
        </is>
      </c>
      <c r="F64" t="n">
        <v>1</v>
      </c>
      <c r="G64" t="n">
        <v>67</v>
      </c>
      <c r="H64" t="n">
        <v>67</v>
      </c>
    </row>
    <row r="65">
      <c r="A65" s="10" t="n">
        <v>46357</v>
      </c>
      <c r="B65" t="inlineStr">
        <is>
          <t>P0051</t>
        </is>
      </c>
      <c r="C65" t="inlineStr">
        <is>
          <t>Olomoucký</t>
        </is>
      </c>
      <c r="D65" t="inlineStr">
        <is>
          <t>L05</t>
        </is>
      </c>
      <c r="E65" t="inlineStr">
        <is>
          <t>Levothyroxin 50 µg</t>
        </is>
      </c>
      <c r="F65" t="n">
        <v>1</v>
      </c>
      <c r="G65" t="n">
        <v>122</v>
      </c>
      <c r="H65" t="n">
        <v>122</v>
      </c>
    </row>
    <row r="66">
      <c r="A66" s="10" t="n">
        <v>46357</v>
      </c>
      <c r="B66" t="inlineStr">
        <is>
          <t>P0052</t>
        </is>
      </c>
      <c r="C66" t="inlineStr">
        <is>
          <t>Středočeský</t>
        </is>
      </c>
      <c r="D66" t="inlineStr">
        <is>
          <t>L04</t>
        </is>
      </c>
      <c r="E66" t="inlineStr">
        <is>
          <t>Ramipril 5 mg</t>
        </is>
      </c>
      <c r="F66" t="n">
        <v>1</v>
      </c>
      <c r="G66" t="n">
        <v>101</v>
      </c>
      <c r="H66" t="n">
        <v>101</v>
      </c>
    </row>
    <row r="67">
      <c r="A67" s="10" t="n">
        <v>46357</v>
      </c>
      <c r="B67" t="inlineStr">
        <is>
          <t>P0053</t>
        </is>
      </c>
      <c r="C67" t="inlineStr">
        <is>
          <t>Moravskoslezský</t>
        </is>
      </c>
      <c r="D67" t="inlineStr">
        <is>
          <t>L01</t>
        </is>
      </c>
      <c r="E67" t="inlineStr">
        <is>
          <t>Metformin 500 mg</t>
        </is>
      </c>
      <c r="F67" t="n">
        <v>1</v>
      </c>
      <c r="G67" t="n">
        <v>92</v>
      </c>
      <c r="H67" t="n">
        <v>92</v>
      </c>
    </row>
    <row r="68">
      <c r="A68" s="10" t="n">
        <v>46357</v>
      </c>
      <c r="B68" t="inlineStr">
        <is>
          <t>P0055</t>
        </is>
      </c>
      <c r="C68" t="inlineStr">
        <is>
          <t>Středočeský</t>
        </is>
      </c>
      <c r="D68" t="inlineStr">
        <is>
          <t>L06</t>
        </is>
      </c>
      <c r="E68" t="inlineStr">
        <is>
          <t>Omeprazol 20 mg</t>
        </is>
      </c>
      <c r="F68" t="n">
        <v>1</v>
      </c>
      <c r="G68" t="n">
        <v>139</v>
      </c>
      <c r="H68" t="n">
        <v>139</v>
      </c>
    </row>
    <row r="69">
      <c r="A69" s="10" t="n">
        <v>46357</v>
      </c>
      <c r="B69" t="inlineStr">
        <is>
          <t>P0056</t>
        </is>
      </c>
      <c r="C69" t="inlineStr">
        <is>
          <t>Olomoucký</t>
        </is>
      </c>
      <c r="D69" t="inlineStr">
        <is>
          <t>L01</t>
        </is>
      </c>
      <c r="E69" t="inlineStr">
        <is>
          <t>Metformin 500 mg</t>
        </is>
      </c>
      <c r="F69" t="n">
        <v>1</v>
      </c>
      <c r="G69" t="n">
        <v>92</v>
      </c>
      <c r="H69" t="n">
        <v>92</v>
      </c>
    </row>
    <row r="70">
      <c r="A70" s="10" t="n">
        <v>46357</v>
      </c>
      <c r="B70" t="inlineStr">
        <is>
          <t>P0056</t>
        </is>
      </c>
      <c r="C70" t="inlineStr">
        <is>
          <t>Olomoucký</t>
        </is>
      </c>
      <c r="D70" t="inlineStr">
        <is>
          <t>L03</t>
        </is>
      </c>
      <c r="E70" t="inlineStr">
        <is>
          <t>Amlodipin 5 mg</t>
        </is>
      </c>
      <c r="F70" t="n">
        <v>1</v>
      </c>
      <c r="G70" t="n">
        <v>74</v>
      </c>
      <c r="H70" t="n">
        <v>74</v>
      </c>
    </row>
    <row r="71">
      <c r="A71" s="10" t="n">
        <v>46357</v>
      </c>
      <c r="B71" t="inlineStr">
        <is>
          <t>P0058</t>
        </is>
      </c>
      <c r="C71" t="inlineStr">
        <is>
          <t>Praha</t>
        </is>
      </c>
      <c r="D71" t="inlineStr">
        <is>
          <t>L04</t>
        </is>
      </c>
      <c r="E71" t="inlineStr">
        <is>
          <t>Ramipril 5 mg</t>
        </is>
      </c>
      <c r="F71" t="n">
        <v>1</v>
      </c>
      <c r="G71" t="n">
        <v>101</v>
      </c>
      <c r="H71" t="n">
        <v>101</v>
      </c>
    </row>
    <row r="72">
      <c r="A72" s="10" t="n">
        <v>46357</v>
      </c>
      <c r="B72" t="inlineStr">
        <is>
          <t>P0059</t>
        </is>
      </c>
      <c r="C72" t="inlineStr">
        <is>
          <t>Praha</t>
        </is>
      </c>
      <c r="D72" t="inlineStr">
        <is>
          <t>L04</t>
        </is>
      </c>
      <c r="E72" t="inlineStr">
        <is>
          <t>Ramipril 5 mg</t>
        </is>
      </c>
      <c r="F72" t="n">
        <v>1</v>
      </c>
      <c r="G72" t="n">
        <v>101</v>
      </c>
      <c r="H72" t="n">
        <v>101</v>
      </c>
    </row>
    <row r="73">
      <c r="A73" s="10" t="n">
        <v>46357</v>
      </c>
      <c r="B73" t="inlineStr">
        <is>
          <t>P0060</t>
        </is>
      </c>
      <c r="C73" t="inlineStr">
        <is>
          <t>Moravskoslezský</t>
        </is>
      </c>
      <c r="D73" t="inlineStr">
        <is>
          <t>L06</t>
        </is>
      </c>
      <c r="E73" t="inlineStr">
        <is>
          <t>Omeprazol 20 mg</t>
        </is>
      </c>
      <c r="F73" t="n">
        <v>1</v>
      </c>
      <c r="G73" t="n">
        <v>139</v>
      </c>
      <c r="H73" t="n">
        <v>139</v>
      </c>
    </row>
    <row r="74">
      <c r="A74" s="10" t="n">
        <v>46357</v>
      </c>
      <c r="B74" t="inlineStr">
        <is>
          <t>P0061</t>
        </is>
      </c>
      <c r="C74" t="inlineStr">
        <is>
          <t>Jihomoravský</t>
        </is>
      </c>
      <c r="D74" t="inlineStr">
        <is>
          <t>L05</t>
        </is>
      </c>
      <c r="E74" t="inlineStr">
        <is>
          <t>Levothyroxin 50 µg</t>
        </is>
      </c>
      <c r="F74" t="n">
        <v>1</v>
      </c>
      <c r="G74" t="n">
        <v>122</v>
      </c>
      <c r="H74" t="n">
        <v>122</v>
      </c>
    </row>
    <row r="75">
      <c r="A75" s="10" t="n">
        <v>46357</v>
      </c>
      <c r="B75" t="inlineStr">
        <is>
          <t>P0061</t>
        </is>
      </c>
      <c r="C75" t="inlineStr">
        <is>
          <t>Jihomoravský</t>
        </is>
      </c>
      <c r="D75" t="inlineStr">
        <is>
          <t>L07</t>
        </is>
      </c>
      <c r="E75" t="inlineStr">
        <is>
          <t>Sertralin 50 mg</t>
        </is>
      </c>
      <c r="F75" t="n">
        <v>1</v>
      </c>
      <c r="G75" t="n">
        <v>216</v>
      </c>
      <c r="H75" t="n">
        <v>216</v>
      </c>
    </row>
    <row r="76">
      <c r="A76" s="10" t="n">
        <v>46357</v>
      </c>
      <c r="B76" t="inlineStr">
        <is>
          <t>P0061</t>
        </is>
      </c>
      <c r="C76" t="inlineStr">
        <is>
          <t>Jihomoravský</t>
        </is>
      </c>
      <c r="D76" t="inlineStr">
        <is>
          <t>L09</t>
        </is>
      </c>
      <c r="E76" t="inlineStr">
        <is>
          <t>Amoxicilin 500 mg</t>
        </is>
      </c>
      <c r="F76" t="n">
        <v>1</v>
      </c>
      <c r="G76" t="n">
        <v>124</v>
      </c>
      <c r="H76" t="n">
        <v>124</v>
      </c>
    </row>
    <row r="77">
      <c r="A77" s="10" t="n">
        <v>46357</v>
      </c>
      <c r="B77" t="inlineStr">
        <is>
          <t>P0062</t>
        </is>
      </c>
      <c r="C77" t="inlineStr">
        <is>
          <t>Praha</t>
        </is>
      </c>
      <c r="D77" t="inlineStr">
        <is>
          <t>L03</t>
        </is>
      </c>
      <c r="E77" t="inlineStr">
        <is>
          <t>Amlodipin 5 mg</t>
        </is>
      </c>
      <c r="F77" t="n">
        <v>1</v>
      </c>
      <c r="G77" t="n">
        <v>74</v>
      </c>
      <c r="H77" t="n">
        <v>74</v>
      </c>
    </row>
    <row r="78">
      <c r="A78" s="10" t="n">
        <v>46357</v>
      </c>
      <c r="B78" t="inlineStr">
        <is>
          <t>P0062</t>
        </is>
      </c>
      <c r="C78" t="inlineStr">
        <is>
          <t>Praha</t>
        </is>
      </c>
      <c r="D78" t="inlineStr">
        <is>
          <t>L06</t>
        </is>
      </c>
      <c r="E78" t="inlineStr">
        <is>
          <t>Omeprazol 20 mg</t>
        </is>
      </c>
      <c r="F78" t="n">
        <v>1</v>
      </c>
      <c r="G78" t="n">
        <v>139</v>
      </c>
      <c r="H78" t="n">
        <v>139</v>
      </c>
    </row>
    <row r="79">
      <c r="A79" s="10" t="n">
        <v>46357</v>
      </c>
      <c r="B79" t="inlineStr">
        <is>
          <t>P0062</t>
        </is>
      </c>
      <c r="C79" t="inlineStr">
        <is>
          <t>Praha</t>
        </is>
      </c>
      <c r="D79" t="inlineStr">
        <is>
          <t>L08</t>
        </is>
      </c>
      <c r="E79" t="inlineStr">
        <is>
          <t>Salbutamol inhalátor</t>
        </is>
      </c>
      <c r="F79" t="n">
        <v>1</v>
      </c>
      <c r="G79" t="n">
        <v>170</v>
      </c>
      <c r="H79" t="n">
        <v>170</v>
      </c>
    </row>
    <row r="80">
      <c r="A80" s="10" t="n">
        <v>46357</v>
      </c>
      <c r="B80" t="inlineStr">
        <is>
          <t>P0063</t>
        </is>
      </c>
      <c r="C80" t="inlineStr">
        <is>
          <t>Jihomoravský</t>
        </is>
      </c>
      <c r="D80" t="inlineStr">
        <is>
          <t>L04</t>
        </is>
      </c>
      <c r="E80" t="inlineStr">
        <is>
          <t>Ramipril 5 mg</t>
        </is>
      </c>
      <c r="F80" t="n">
        <v>1</v>
      </c>
      <c r="G80" t="n">
        <v>101</v>
      </c>
      <c r="H80" t="n">
        <v>101</v>
      </c>
    </row>
    <row r="81">
      <c r="A81" s="10" t="n">
        <v>46357</v>
      </c>
      <c r="B81" t="inlineStr">
        <is>
          <t>P0064</t>
        </is>
      </c>
      <c r="C81" t="inlineStr">
        <is>
          <t>Praha</t>
        </is>
      </c>
      <c r="D81" t="inlineStr">
        <is>
          <t>L04</t>
        </is>
      </c>
      <c r="E81" t="inlineStr">
        <is>
          <t>Ramipril 5 mg</t>
        </is>
      </c>
      <c r="F81" t="n">
        <v>1</v>
      </c>
      <c r="G81" t="n">
        <v>101</v>
      </c>
      <c r="H81" t="n">
        <v>101</v>
      </c>
    </row>
    <row r="82">
      <c r="A82" s="10" t="n">
        <v>46357</v>
      </c>
      <c r="B82" t="inlineStr">
        <is>
          <t>P0064</t>
        </is>
      </c>
      <c r="C82" t="inlineStr">
        <is>
          <t>Praha</t>
        </is>
      </c>
      <c r="D82" t="inlineStr">
        <is>
          <t>L07</t>
        </is>
      </c>
      <c r="E82" t="inlineStr">
        <is>
          <t>Sertralin 50 mg</t>
        </is>
      </c>
      <c r="F82" t="n">
        <v>1</v>
      </c>
      <c r="G82" t="n">
        <v>216</v>
      </c>
      <c r="H82" t="n">
        <v>216</v>
      </c>
    </row>
    <row r="83">
      <c r="A83" s="10" t="n">
        <v>46357</v>
      </c>
      <c r="B83" t="inlineStr">
        <is>
          <t>P0064</t>
        </is>
      </c>
      <c r="C83" t="inlineStr">
        <is>
          <t>Praha</t>
        </is>
      </c>
      <c r="D83" t="inlineStr">
        <is>
          <t>L08</t>
        </is>
      </c>
      <c r="E83" t="inlineStr">
        <is>
          <t>Salbutamol inhalátor</t>
        </is>
      </c>
      <c r="F83" t="n">
        <v>1</v>
      </c>
      <c r="G83" t="n">
        <v>170</v>
      </c>
      <c r="H83" t="n">
        <v>170</v>
      </c>
    </row>
    <row r="84">
      <c r="A84" s="10" t="n">
        <v>46357</v>
      </c>
      <c r="B84" t="inlineStr">
        <is>
          <t>P0065</t>
        </is>
      </c>
      <c r="C84" t="inlineStr">
        <is>
          <t>Jihomoravský</t>
        </is>
      </c>
      <c r="D84" t="inlineStr">
        <is>
          <t>L07</t>
        </is>
      </c>
      <c r="E84" t="inlineStr">
        <is>
          <t>Sertralin 50 mg</t>
        </is>
      </c>
      <c r="F84" t="n">
        <v>1</v>
      </c>
      <c r="G84" t="n">
        <v>216</v>
      </c>
      <c r="H84" t="n">
        <v>216</v>
      </c>
    </row>
    <row r="85">
      <c r="A85" s="10" t="n">
        <v>46357</v>
      </c>
      <c r="B85" t="inlineStr">
        <is>
          <t>P0066</t>
        </is>
      </c>
      <c r="C85" t="inlineStr">
        <is>
          <t>Olomoucký</t>
        </is>
      </c>
      <c r="D85" t="inlineStr">
        <is>
          <t>L04</t>
        </is>
      </c>
      <c r="E85" t="inlineStr">
        <is>
          <t>Ramipril 5 mg</t>
        </is>
      </c>
      <c r="F85" t="n">
        <v>1</v>
      </c>
      <c r="G85" t="n">
        <v>101</v>
      </c>
      <c r="H85" t="n">
        <v>101</v>
      </c>
    </row>
    <row r="86">
      <c r="A86" s="10" t="n">
        <v>46357</v>
      </c>
      <c r="B86" t="inlineStr">
        <is>
          <t>P0066</t>
        </is>
      </c>
      <c r="C86" t="inlineStr">
        <is>
          <t>Olomoucký</t>
        </is>
      </c>
      <c r="D86" t="inlineStr">
        <is>
          <t>L05</t>
        </is>
      </c>
      <c r="E86" t="inlineStr">
        <is>
          <t>Levothyroxin 50 µg</t>
        </is>
      </c>
      <c r="F86" t="n">
        <v>2</v>
      </c>
      <c r="G86" t="n">
        <v>122</v>
      </c>
      <c r="H86" t="n">
        <v>244</v>
      </c>
    </row>
    <row r="87">
      <c r="A87" s="10" t="n">
        <v>46357</v>
      </c>
      <c r="B87" t="inlineStr">
        <is>
          <t>P0066</t>
        </is>
      </c>
      <c r="C87" t="inlineStr">
        <is>
          <t>Olomoucký</t>
        </is>
      </c>
      <c r="D87" t="inlineStr">
        <is>
          <t>L09</t>
        </is>
      </c>
      <c r="E87" t="inlineStr">
        <is>
          <t>Amoxicilin 500 mg</t>
        </is>
      </c>
      <c r="F87" t="n">
        <v>1</v>
      </c>
      <c r="G87" t="n">
        <v>124</v>
      </c>
      <c r="H8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2026-09-27T17:03:41Z</dcterms:created>
  <dcterms:modified xsi:type="dcterms:W3CDTF">2026-09-27T17:03:41Z</dcterms:modified>
</cp:coreProperties>
</file>